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tilisateur\Desktop\R&amp;D\"/>
    </mc:Choice>
  </mc:AlternateContent>
  <xr:revisionPtr revIDLastSave="0" documentId="13_ncr:1_{D7AFDB42-DDA4-4289-863D-62FB13F71A08}" xr6:coauthVersionLast="47" xr6:coauthVersionMax="47" xr10:uidLastSave="{00000000-0000-0000-0000-000000000000}"/>
  <bookViews>
    <workbookView xWindow="0" yWindow="360" windowWidth="23256" windowHeight="12456" xr2:uid="{00000000-000D-0000-FFFF-FFFF00000000}"/>
  </bookViews>
  <sheets>
    <sheet name="Papers Database"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a="1"/>
  <c r="A2" i="2" s="1"/>
  <c r="A4" i="2" s="1" a="1"/>
  <c r="A4" i="2" s="1"/>
  <c r="A3" i="2" l="1" a="1"/>
  <c r="A3" i="2" s="1"/>
  <c r="A6" i="2" a="1"/>
  <c r="A6" i="2" s="1"/>
  <c r="A5" i="2" a="1"/>
  <c r="A5" i="2" s="1"/>
  <c r="A7" i="2" s="1" a="1"/>
  <c r="A7" i="2" s="1"/>
  <c r="A8" i="2" l="1" a="1"/>
  <c r="A8" i="2" s="1"/>
  <c r="A9" i="2" l="1" a="1"/>
  <c r="A9" i="2" s="1"/>
  <c r="A10" i="2" l="1" a="1"/>
  <c r="A10" i="2" s="1"/>
  <c r="A11" i="2" s="1" a="1"/>
  <c r="A11" i="2" s="1"/>
  <c r="A12" i="2" l="1" a="1"/>
  <c r="A12" i="2" s="1"/>
  <c r="A13" i="2" s="1" a="1"/>
  <c r="A13" i="2" s="1"/>
  <c r="A14" i="2" l="1" a="1"/>
  <c r="A14" i="2" s="1"/>
  <c r="A15" i="2" l="1" a="1"/>
  <c r="A15" i="2" s="1"/>
  <c r="A16" i="2" s="1" a="1"/>
  <c r="A16" i="2" s="1"/>
  <c r="A17" i="2" s="1" a="1"/>
  <c r="A17" i="2" s="1"/>
  <c r="A19" i="2" l="1" a="1"/>
  <c r="A19" i="2" s="1"/>
  <c r="A18" i="2" a="1"/>
  <c r="A18" i="2" s="1"/>
  <c r="A20" i="2" l="1" a="1"/>
  <c r="A20" i="2" s="1"/>
  <c r="A21" i="2" s="1" a="1"/>
  <c r="A21" i="2" s="1"/>
  <c r="A22" i="2" s="1" a="1"/>
  <c r="A22" i="2" s="1"/>
  <c r="A23" i="2" s="1" a="1"/>
  <c r="A23" i="2" s="1"/>
  <c r="A24" i="2" l="1" a="1"/>
  <c r="A24" i="2" s="1"/>
  <c r="A28" i="2" a="1"/>
  <c r="A28" i="2" s="1"/>
  <c r="A29" i="2" a="1"/>
  <c r="A29" i="2" s="1"/>
  <c r="A26" i="2" a="1"/>
  <c r="A26" i="2" s="1"/>
  <c r="A25" i="2" a="1"/>
  <c r="A25" i="2" s="1"/>
  <c r="A27" i="2" a="1"/>
  <c r="A27" i="2" s="1"/>
  <c r="A30" i="2" l="1" a="1"/>
  <c r="A30" i="2" s="1"/>
  <c r="A31" i="2" s="1" a="1"/>
  <c r="A31" i="2" s="1"/>
  <c r="A33" i="2" s="1" a="1"/>
  <c r="A33" i="2" s="1"/>
  <c r="A32" i="2" a="1"/>
  <c r="A32" i="2" s="1"/>
  <c r="A34" i="2" l="1" a="1"/>
  <c r="A34" i="2" s="1"/>
  <c r="A35" i="2" s="1" a="1"/>
  <c r="A35" i="2" s="1"/>
  <c r="A49" i="2" s="1" a="1"/>
  <c r="A49" i="2" s="1"/>
  <c r="A36" i="2" l="1" a="1"/>
  <c r="A36" i="2" s="1"/>
  <c r="A37" i="2" s="1" a="1"/>
  <c r="A37" i="2" s="1"/>
  <c r="A42" i="2" l="1" a="1"/>
  <c r="A42" i="2" s="1"/>
  <c r="A39" i="2" a="1"/>
  <c r="A39" i="2" s="1"/>
  <c r="A40" i="2" a="1"/>
  <c r="A40" i="2" s="1"/>
  <c r="A41" i="2" a="1"/>
  <c r="A41" i="2" s="1"/>
  <c r="A38" i="2" a="1"/>
  <c r="A38" i="2" s="1"/>
  <c r="A43" i="2" l="1" a="1"/>
  <c r="A43" i="2" s="1"/>
  <c r="A45" i="2" s="1" a="1"/>
  <c r="A45" i="2" s="1"/>
  <c r="A44" i="2" l="1" a="1"/>
  <c r="A44" i="2" s="1"/>
  <c r="A46" i="2" l="1" a="1"/>
  <c r="A46" i="2" s="1"/>
  <c r="A47" i="2" s="1" a="1"/>
  <c r="A47" i="2" s="1"/>
  <c r="A48" i="2" s="1" a="1"/>
  <c r="A48" i="2" s="1"/>
  <c r="A50" i="2" l="1" a="1"/>
  <c r="A50" i="2" s="1"/>
  <c r="A51" i="2" s="1" a="1"/>
  <c r="A51" i="2" s="1"/>
  <c r="A52" i="2" s="1" a="1"/>
  <c r="A52" i="2" s="1"/>
  <c r="A61" i="2" l="1" a="1"/>
  <c r="A61" i="2" s="1"/>
  <c r="A62" i="2" s="1" a="1"/>
  <c r="A62" i="2" s="1"/>
  <c r="A63" i="2" s="1" a="1"/>
  <c r="A63" i="2" s="1"/>
  <c r="A64" i="2" s="1" a="1"/>
  <c r="A64" i="2" s="1"/>
  <c r="A65" i="2" s="1" a="1"/>
  <c r="A65" i="2" s="1"/>
  <c r="A66" i="2" s="1" a="1"/>
  <c r="A66" i="2" s="1"/>
  <c r="A67" i="2" s="1" a="1"/>
  <c r="A67" i="2" s="1"/>
  <c r="A68" i="2" s="1" a="1"/>
  <c r="A68" i="2" s="1"/>
  <c r="A71" i="2" s="1" a="1"/>
  <c r="A71" i="2" s="1"/>
  <c r="A57" i="2" a="1"/>
  <c r="A57" i="2" s="1"/>
  <c r="A58" i="2" a="1"/>
  <c r="A58" i="2" s="1"/>
  <c r="A53" i="2" a="1"/>
  <c r="A53" i="2" s="1"/>
  <c r="A59" i="2" a="1"/>
  <c r="A59" i="2" s="1"/>
  <c r="A54" i="2" a="1"/>
  <c r="A54" i="2" s="1"/>
  <c r="A69" i="2" s="1" a="1"/>
  <c r="A69" i="2" s="1"/>
  <c r="A70" i="2" s="1" a="1"/>
  <c r="A70" i="2" s="1"/>
  <c r="A60" i="2" a="1"/>
  <c r="A60" i="2" s="1"/>
  <c r="A55" i="2" a="1"/>
  <c r="A55" i="2" s="1"/>
  <c r="A56" i="2" a="1"/>
  <c r="A56" i="2" s="1"/>
  <c r="A72" i="2" l="1" a="1"/>
  <c r="A72" i="2" s="1"/>
  <c r="A73" i="2" s="1" a="1"/>
  <c r="A73" i="2" s="1"/>
  <c r="A74" i="2" s="1" a="1"/>
  <c r="A74" i="2" s="1"/>
  <c r="A75" i="2" s="1" a="1"/>
  <c r="A75" i="2" s="1"/>
  <c r="A76" i="2" s="1" a="1"/>
  <c r="A76" i="2" s="1"/>
  <c r="A77" i="2" s="1" a="1"/>
  <c r="A77" i="2" s="1"/>
  <c r="A78" i="2" s="1" a="1"/>
  <c r="A78" i="2" s="1"/>
  <c r="A79" i="2" s="1" a="1"/>
  <c r="A79" i="2" s="1"/>
  <c r="A80" i="2" s="1" a="1"/>
  <c r="A80" i="2" s="1"/>
  <c r="A81" i="2" s="1" a="1"/>
  <c r="A81" i="2" s="1"/>
  <c r="A82" i="2" l="1" a="1"/>
  <c r="A82" i="2" s="1"/>
  <c r="A83" i="2" a="1"/>
  <c r="A83" i="2" s="1"/>
  <c r="A84" i="2" s="1" a="1"/>
  <c r="A84" i="2" s="1"/>
  <c r="A85" i="2" s="1" a="1"/>
  <c r="A85" i="2" s="1"/>
  <c r="A86" i="2" s="1" a="1"/>
  <c r="A86" i="2" s="1"/>
  <c r="A89" i="2" l="1" a="1"/>
  <c r="A89" i="2" s="1"/>
  <c r="A87" i="2" a="1"/>
  <c r="A87" i="2" s="1"/>
  <c r="A91" i="2" a="1"/>
  <c r="A91" i="2" s="1"/>
  <c r="A92" i="2" a="1"/>
  <c r="A92" i="2" s="1"/>
  <c r="A93" i="2" a="1"/>
  <c r="A93" i="2" s="1"/>
  <c r="A94" i="2" s="1" a="1"/>
  <c r="A94" i="2" s="1"/>
  <c r="A95" i="2" s="1" a="1"/>
  <c r="A95" i="2" s="1"/>
  <c r="A96" i="2" s="1" a="1"/>
  <c r="A96" i="2" s="1"/>
  <c r="A97" i="2" s="1" a="1"/>
  <c r="A97" i="2" s="1"/>
  <c r="A98" i="2" s="1" a="1"/>
  <c r="A98" i="2" s="1"/>
  <c r="A88" i="2" a="1"/>
  <c r="A88" i="2" s="1"/>
  <c r="A90" i="2" a="1"/>
  <c r="A90" i="2" s="1"/>
  <c r="A99" i="2" l="1" a="1"/>
  <c r="A99" i="2" s="1"/>
  <c r="A101" i="2" a="1"/>
  <c r="A101" i="2" s="1"/>
  <c r="A102" i="2" s="1" a="1"/>
  <c r="A102" i="2" s="1"/>
  <c r="A103" i="2" s="1" a="1"/>
  <c r="A103" i="2" s="1"/>
  <c r="A104" i="2" s="1" a="1"/>
  <c r="A104" i="2" s="1"/>
  <c r="A105" i="2" s="1" a="1"/>
  <c r="A105" i="2" s="1"/>
  <c r="A106" i="2" s="1" a="1"/>
  <c r="A106" i="2" s="1"/>
  <c r="A107" i="2" s="1" a="1"/>
  <c r="A107" i="2" s="1"/>
  <c r="A108" i="2" s="1" a="1"/>
  <c r="A108" i="2" s="1"/>
  <c r="A109" i="2" s="1" a="1"/>
  <c r="A109" i="2" s="1"/>
  <c r="A110" i="2" s="1" a="1"/>
  <c r="A110" i="2" s="1"/>
  <c r="A111" i="2" s="1" a="1"/>
  <c r="A111" i="2" s="1"/>
  <c r="A112" i="2" s="1" a="1"/>
  <c r="A112" i="2" s="1"/>
  <c r="A113" i="2" s="1" a="1"/>
  <c r="A113" i="2" s="1"/>
  <c r="A114" i="2" s="1" a="1"/>
  <c r="A114" i="2" s="1"/>
  <c r="A115" i="2" s="1" a="1"/>
  <c r="A115" i="2" s="1"/>
  <c r="A116" i="2" s="1" a="1"/>
  <c r="A116" i="2" s="1"/>
  <c r="A117" i="2" s="1" a="1"/>
  <c r="A117" i="2" s="1"/>
  <c r="A118" i="2" s="1" a="1"/>
  <c r="A118" i="2" s="1"/>
  <c r="A100" i="2" a="1"/>
  <c r="A100" i="2" s="1"/>
  <c r="A123" i="2" l="1" a="1"/>
  <c r="A123" i="2" s="1"/>
  <c r="A120" i="2" a="1"/>
  <c r="A120" i="2" s="1"/>
  <c r="A121" i="2" a="1"/>
  <c r="A121" i="2" s="1"/>
  <c r="A122" i="2" a="1"/>
  <c r="A122" i="2" s="1"/>
  <c r="A119" i="2" a="1"/>
  <c r="A119" i="2" s="1"/>
  <c r="A124" i="2" l="1" a="1"/>
  <c r="A124" i="2" s="1"/>
  <c r="A125" i="2" l="1" a="1"/>
  <c r="A125" i="2" s="1"/>
  <c r="A126" i="2" a="1"/>
  <c r="A126" i="2" s="1"/>
  <c r="A127" i="2" s="1" a="1"/>
  <c r="A127" i="2" s="1"/>
  <c r="A128" i="2" s="1" a="1"/>
  <c r="A128" i="2" s="1"/>
  <c r="A129" i="2" s="1" a="1"/>
  <c r="A129" i="2" s="1"/>
  <c r="A131" i="2" l="1" a="1"/>
  <c r="A131" i="2" s="1"/>
  <c r="A132" i="2" s="1" a="1"/>
  <c r="A132" i="2" s="1"/>
  <c r="A133" i="2" s="1" a="1"/>
  <c r="A133" i="2" s="1"/>
  <c r="A134" i="2" s="1" a="1"/>
  <c r="A134" i="2" s="1"/>
  <c r="A135" i="2" s="1" a="1"/>
  <c r="A135" i="2" s="1"/>
  <c r="A136" i="2" s="1" a="1"/>
  <c r="A136" i="2" s="1"/>
  <c r="A137" i="2" s="1" a="1"/>
  <c r="A137" i="2" s="1"/>
  <c r="A130" i="2" a="1"/>
  <c r="A130" i="2" s="1"/>
  <c r="A138" i="2" l="1" a="1"/>
  <c r="A138" i="2" s="1"/>
  <c r="A139" i="2" a="1"/>
  <c r="A139" i="2" s="1"/>
  <c r="A140" i="2" s="1" a="1"/>
  <c r="A140" i="2" s="1"/>
  <c r="A141" i="2" s="1" a="1"/>
  <c r="A141" i="2" s="1"/>
  <c r="A142" i="2" s="1" a="1"/>
  <c r="A142" i="2" s="1"/>
  <c r="A143" i="2" s="1" a="1"/>
  <c r="A143" i="2" s="1"/>
  <c r="A144" i="2" s="1" a="1"/>
  <c r="A144" i="2" s="1"/>
  <c r="A145" i="2" s="1" a="1"/>
  <c r="A145" i="2" s="1"/>
  <c r="A146" i="2" s="1" a="1"/>
  <c r="A146" i="2" s="1"/>
  <c r="A147" i="2" s="1" a="1"/>
  <c r="A147" i="2" s="1"/>
  <c r="A148" i="2" s="1" a="1"/>
  <c r="A148" i="2" s="1"/>
  <c r="A149" i="2" s="1" a="1"/>
  <c r="A149" i="2" s="1"/>
  <c r="A150" i="2" s="1" a="1"/>
  <c r="A150" i="2" s="1"/>
  <c r="A151" i="2" l="1" a="1"/>
  <c r="A151" i="2" s="1"/>
  <c r="A153" i="2" a="1"/>
  <c r="A153" i="2" s="1"/>
  <c r="A152" i="2" a="1"/>
  <c r="A152" i="2" s="1"/>
  <c r="A154" i="2" l="1" a="1"/>
  <c r="A154" i="2" s="1"/>
  <c r="A155" i="2" s="1" a="1"/>
  <c r="A155" i="2" s="1"/>
  <c r="A156" i="2" s="1" a="1"/>
  <c r="A156" i="2" s="1"/>
  <c r="A157" i="2" s="1" a="1"/>
  <c r="A157" i="2" s="1"/>
  <c r="A158" i="2" s="1" a="1"/>
  <c r="A158" i="2" s="1"/>
  <c r="A159" i="2" s="1" a="1"/>
  <c r="A159" i="2" s="1"/>
  <c r="A160" i="2" s="1" a="1"/>
  <c r="A160" i="2" s="1"/>
  <c r="A161" i="2" s="1" a="1"/>
  <c r="A161" i="2" s="1"/>
  <c r="A162" i="2" s="1" a="1"/>
  <c r="A162" i="2" s="1"/>
  <c r="A163" i="2" s="1" a="1"/>
  <c r="A163" i="2" s="1"/>
  <c r="A164" i="2" s="1" a="1"/>
  <c r="A164" i="2" s="1"/>
  <c r="A165" i="2" s="1" a="1"/>
  <c r="A165" i="2" s="1"/>
  <c r="A166" i="2" s="1" a="1"/>
  <c r="A166" i="2" s="1"/>
  <c r="A167" i="2" s="1" a="1"/>
  <c r="A167" i="2" s="1"/>
  <c r="A168" i="2" s="1" a="1"/>
  <c r="A168" i="2" s="1"/>
  <c r="A169" i="2" s="1" a="1"/>
  <c r="A169" i="2" s="1"/>
  <c r="A170" i="2" s="1" a="1"/>
  <c r="A170" i="2" s="1"/>
  <c r="A171" i="2" s="1" a="1"/>
  <c r="A171" i="2" s="1"/>
  <c r="A172" i="2" s="1" a="1"/>
  <c r="A172" i="2" s="1"/>
  <c r="A173" i="2" s="1" a="1"/>
  <c r="A173" i="2" s="1"/>
  <c r="A174" i="2" s="1" a="1"/>
  <c r="A174" i="2" s="1"/>
  <c r="A175" i="2" s="1" a="1"/>
  <c r="A175" i="2" s="1"/>
  <c r="A176" i="2" s="1" a="1"/>
  <c r="A176" i="2" s="1"/>
  <c r="A177" i="2" s="1" a="1"/>
  <c r="A177" i="2" s="1"/>
  <c r="A178" i="2" l="1" a="1"/>
  <c r="A178" i="2" s="1"/>
  <c r="A180" i="2" a="1"/>
  <c r="A180" i="2" s="1"/>
  <c r="A179" i="2" a="1"/>
  <c r="A179" i="2" s="1"/>
  <c r="A181" i="2" l="1" a="1"/>
  <c r="A181" i="2" s="1"/>
  <c r="A182" i="2" s="1" a="1"/>
  <c r="A182" i="2" s="1"/>
  <c r="A183" i="2" s="1" a="1"/>
  <c r="A183" i="2" s="1"/>
  <c r="A184" i="2" s="1" a="1"/>
  <c r="A184" i="2" s="1"/>
  <c r="A185" i="2" s="1" a="1"/>
  <c r="A185" i="2" s="1"/>
  <c r="A186" i="2" s="1" a="1"/>
  <c r="A186" i="2" s="1"/>
  <c r="A187" i="2" s="1" a="1"/>
  <c r="A187" i="2" s="1"/>
  <c r="A188" i="2" s="1" a="1"/>
  <c r="A188" i="2" s="1"/>
  <c r="A189" i="2" s="1" a="1"/>
  <c r="A189" i="2" s="1"/>
  <c r="A190" i="2" s="1" a="1"/>
  <c r="A190" i="2" s="1"/>
  <c r="A191" i="2" s="1" a="1"/>
  <c r="A191" i="2" s="1"/>
  <c r="A192" i="2" s="1" a="1"/>
  <c r="A192" i="2" s="1"/>
  <c r="A194" i="2" s="1" a="1"/>
  <c r="A194" i="2" s="1"/>
  <c r="A193" i="2" l="1" a="1"/>
  <c r="A193" i="2" s="1"/>
  <c r="A195" i="2" a="1"/>
  <c r="A195" i="2" s="1"/>
  <c r="A196" i="2" s="1" a="1"/>
  <c r="A196" i="2" s="1"/>
  <c r="A197" i="2" s="1" a="1"/>
  <c r="A197" i="2" s="1"/>
  <c r="A198" i="2" s="1" a="1"/>
  <c r="A198" i="2" s="1"/>
  <c r="A199" i="2" s="1" a="1"/>
  <c r="A199" i="2" s="1"/>
  <c r="A201" i="2" s="1" a="1"/>
  <c r="A201" i="2" s="1"/>
  <c r="A202" i="2" l="1" a="1"/>
  <c r="A202" i="2" s="1"/>
  <c r="A203" i="2" s="1" a="1"/>
  <c r="A203" i="2" s="1"/>
  <c r="A204" i="2" s="1" a="1"/>
  <c r="A204" i="2" s="1"/>
  <c r="A205" i="2" s="1" a="1"/>
  <c r="A205" i="2" s="1"/>
  <c r="A206" i="2" s="1" a="1"/>
  <c r="A206" i="2" s="1"/>
  <c r="A207" i="2" s="1" a="1"/>
  <c r="A207" i="2" s="1"/>
  <c r="A208" i="2" s="1" a="1"/>
  <c r="A208" i="2" s="1"/>
  <c r="A209" i="2" s="1" a="1"/>
  <c r="A209" i="2" s="1"/>
  <c r="A210" i="2" s="1" a="1"/>
  <c r="A210" i="2" s="1"/>
  <c r="A211" i="2" s="1" a="1"/>
  <c r="A211" i="2" s="1"/>
  <c r="A200" i="2" a="1"/>
  <c r="A200" i="2" s="1"/>
  <c r="A212" i="2" l="1" a="1"/>
  <c r="A21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<sst xmlns="http://schemas.openxmlformats.org/spreadsheetml/2006/main" count="316" uniqueCount="175">
  <si>
    <t>@article{makinen2021designing,
  title={Designing an open-source cloud-native MLOps pipeline},
  author={M{\"a}kinen, Sasu and others},
  journal={University of Helsinki},
  year={2021}
}</t>
  </si>
  <si>
    <t>@inproceedings{zhou2020towards,
  title={Towards mlops: A case study of ml pipeline platform},
  author={Zhou, Yue and Yu, Yue and Ding, Bo},
  booktitle={2020 International conference on artificial intelligence and computer engineering (ICAICE)},
  pages={494--500},
  year={2020},
  organization={IEEE}
}</t>
  </si>
  <si>
    <t>@inproceedings{recupito2022multivocal,
  title={A multivocal literature review of MLOps tools and features},
  author={Recupito, Gilberto and Pecorelli, Fabiano and Catolino, Gemma and Moreschini, Sergio and Di Nucci, Dario and Palomba, Fabio and Tamburri, Damian A},
  booktitle={2022 48th Euromicro Conference on Software Engineering and Advanced Applications (SEAA)},
  pages={84--91},
  year={2022},
  organization={IEEE}
}</t>
  </si>
  <si>
    <t>@article{jin2025smartmlops,
  title={SmartMLOps Studio: Design of an LLM-Integrated IDE with Automated MLOps Pipelines for Model Development and Monitoring},
  author={Jin, Jiawei and Su, Yingxin and Zhu, Xiaotong},
  journal={arXiv preprint arXiv:2511.01850},
  year={2025}
}</t>
  </si>
  <si>
    <t>@article{wazir2023mlops,
  title={MLOps: a review},
  author={Wazir, Samar and Kashyap, Gautam Siddharth and Saxena, Parag},
  journal={arXiv preprint arXiv:2308.10908},
  year={2023}
}</t>
  </si>
  <si>
    <t>@article{testi2022mlops,
  title={MLOps: A taxonomy and a methodology},
  author={Testi, Matteo and Ballabio, Matteo and Frontoni, Emanuele and Iannello, Giulio and Moccia, Sara and Soda, Paolo and Vessio, Gennaro},
  journal={IEEE Access},
  volume={10},
  pages={63606--63618},
  year={2022},
  publisher={IEEE}
}</t>
  </si>
  <si>
    <t>@inproceedings{bahaweres2022docker,
  title={Docker and kubernetes pipeline for devops software defect prediction with mlops approach},
  author={Bahaweres, Rizal Broer and Zulfikar, Aldi and Hermadi, Irman and Suroso, Arif Imam and Arkeman, Yandra},
  booktitle={2022 2nd International Seminar on Machine Learning, Optimization, and Data Science (ISMODE)},
  pages={248--253},
  year={2022},
  organization={IEEE}
}</t>
  </si>
  <si>
    <t>@article{ruf2021demystifying,
  title={Demystifying mlops and presenting a recipe for the selection of open-source tools},
  author={Ruf, Philipp and Madan, Manav and Reich, Christoph and Ould-Abdeslam, Djaffar},
  journal={Applied Sciences},
  volume={11},
  number={19},
  pages={8861},
  year={2021},
  publisher={MDPI}
}</t>
  </si>
  <si>
    <t>@inproceedings{niranjan2022jenkins,
  title={Jenkins pipelines: A novel approach to machine learning operations (mlops)},
  author={Niranjan, DR and others},
  booktitle={2022 International Conference on Edge Computing and Applications (ICECAA)},
  pages={1292--1297},
  year={2022},
  organization={IEEE}
}</t>
  </si>
  <si>
    <t>@phdthesis{ormos2024evaluation,
  title={Evaluation of MLOps approaches and implementation of a data product development pipeline},
  author={Ormos, Leopold},
  year={2024},
  school={University of Stuttgart}
}</t>
  </si>
  <si>
    <t>@article{kumara2023requirements,
  title={Requirements and reference architecture for mlops: Insights from industry},
  author={Kumara, Indika and Arts, Rowan and Di Nucci, Dario and Van Den Heuvel, Willem Jan and Tamburri, Damian Andrew},
  journal={Authorea Preprints},
  year={2023},
  publisher={Authorea}
}</t>
  </si>
  <si>
    <t>@article{zeller2024toward,
  title={Toward a safe MLOps process for the continuous development and safety assurance of ML-based systems in the railway domain},
  author={Zeller, Marc and Waschulzik, Thomas and Schmid, Reiner and Bahlmann, Claus},
  journal={AI and Ethics},
  volume={4},
  number={1},
  pages={123--130},
  year={2024},
  publisher={Springer}
}</t>
  </si>
  <si>
    <t>@article{bayram2025towards,
  title={Towards trustworthy machine learning in production: An overview of the robustness in mlops approach},
  author={Bayram, Firas and Ahmed, Bestoun S},
  journal={ACM Computing Surveys},
  volume={57},
  number={5},
  pages={1--35},
  year={2025},
  publisher={ACM New York, NY}
}</t>
  </si>
  <si>
    <t>@book{haviv2023implementing,
  title={Implementing MLOps in the enterprise},
  author={Haviv, Yaron and Gift, Noah},
  year={2023},
  publisher={" O'Reilly Media, Inc."}
}</t>
  </si>
  <si>
    <t>@book{treveil2020introducing,
  title={Introducing MLOps},
  author={Treveil, Mark and Omont, Nicolas and Stenac, Cl{\'e}ment and Lefevre, Kenji and Phan, Du and Zentici, Joachim and Lavoillotte, Adrien and Miyazaki, Makoto and Heidmann, Lynn},
  year={2020},
  publisher={O'Reilly Media}
}</t>
  </si>
  <si>
    <t>@article{hewage2022machine,
  title={Machine learning operations: A survey on MLOps tool support},
  author={Hewage, Nipuni and Meedeniya, Dulani},
  journal={arXiv preprint arXiv:2202.10169},
  year={2022}
}</t>
  </si>
  <si>
    <t>@book{gift2021practical,
  title={Practical MLOps},
  author={Gift, Noah and Deza, Alfredo},
  year={2021},
  publisher={" O'Reilly Media, Inc."}
}</t>
  </si>
  <si>
    <t>@article{pineda2023mlops,
  title={MLOps in freight rail operations},
  author={Pineda-Jaramillo, Juan and Viti, Francesco},
  journal={Engineering Applications of Artificial Intelligence},
  volume={123},
  pages={106222},
  year={2023},
  publisher={Elsevier}
}</t>
  </si>
  <si>
    <t>@inproceedings{hegedHus2023tailoring,
  title={Tailoring mlops techniques for industry 5.0 needs},
  author={Heged{\H{u}}s, Csaba and Varga, P{\'a}l},
  booktitle={2023 19th international conference on network and service management (CNSM)},
  pages={1--7},
  year={2023},
  organization={IEEE}
}</t>
  </si>
  <si>
    <t>@article{yau2023investigate,
  title={Investigate the challenges and opportunities of MLOps},
  author={Yau, Ting Chun},
  year={2023}
}</t>
  </si>
  <si>
    <t>@inproceedings{safri2024dynamic,
  title={Dynamic tracking, mlops, and workflow integration: Enabling transparent reproducibility in machine learning},
  author={Safri, Hamza and Papadimitriou, George and Deelman, Ewa},
  booktitle={2024 IEEE 20th International Conference on e-Science (e-Science)},
  pages={1--10},
  year={2024},
  organization={IEEE}
}</t>
  </si>
  <si>
    <t>@article{salvucci2021mlops,
  title={MLOps-Standardizing the Machine Learning Workflow},
  author={Salvucci, Enrico},
  year={2021}
}</t>
  </si>
  <si>
    <t>@article{berberi2025machine,
  title={Machine learning operations landscape: platforms and tools},
  author={Berberi, Lisana and Kozlov, Valentin and Nguyen, Giang and S{\'a}inz-Pardo D{\'\i}az, Judith and Calatrava, Amanda and Molt{\'o}, Germ{\'a}n and Tran, Viet and L{\'o}pez Garc{\'\i}a, {\'A}lvaro},
  journal={Artificial Intelligence Review},
  volume={58},
  number={6},
  pages={167},
  year={2025},
  publisher={Springer}
}</t>
  </si>
  <si>
    <t>@inproceedings{chernigovskaya2025towards,
  title={Towards a Standardized Business Process Model for LLMOps.},
  author={Chernigovskaya, Maria and Walia, Damanpreet Singh and Neumann, Ksenia and Hardt, Andr{\'e} and Nahhas, Abdulrahman and Turowski, Klaus},
  booktitle={ICEIS (1)},
  pages={856--866},
  year={2025}
}</t>
  </si>
  <si>
    <t>@article{tetzlaff2022bpmn4sml,
  title={BPMN4sML: A BPMN Extension for Serverless Machine Learning. Technology Independent and Interoperable Modeling of Machine Learning Workflows and their Serverless Deployment Orchestration},
  author={Tetzlaff, Laurens Martin},
  journal={arXiv preprint arXiv:2208.02030},
  year={2022}
}</t>
  </si>
  <si>
    <t>@misc{pistor2023accelerating,
  title={Accelerating university-industry collaborations with MLOps: A case study about the cooperation of Aimo and the Linnaeus University},
  author={Pistor, Nico},
  year={2023}
}</t>
  </si>
  <si>
    <t>@article{reda2025hybrid,
  title={Hybrid MLOps framework for automated lifecycle management of adaptive phishing detection models: A. Reda et al.},
  author={Reda, Asmaa and Taie, Shereen A and Shaheen, Masoud E},
  journal={Scientific Reports},
  volume={15},
  number={1},
  pages={38478},
  year={2025},
  publisher={Nature Publishing Group UK London}
}</t>
  </si>
  <si>
    <t>@misc{panawala2025devops,
  title={From DevOps to MLOps: A Case Study on Adapting Continuous Software Engineering for ML Operationalization},
  author={Panawala, Jeevanthi},
  year={2025}
}</t>
  </si>
  <si>
    <t>@article{zhang2026secmlops,
  title={SecMLOps: A Comprehensive Framework for Integrating Security Throughout the MLOps Lifecycle},
  author={Zhang, Xinrui and Zhao, Pincan and Jaskolka, Jason and Li, Heng and Lu, Rongxing},
  journal={arXiv preprint arXiv:2601.10848},
  year={2026}
}</t>
  </si>
  <si>
    <t>@inproceedings{muller2023adoption,
  title={On the Adoption of Federated Machine Learning: Roles, Activities and Process Life Cycle.},
  author={M{\"u}ller, Tobias and Zahn, Milena and Matthes, Florian},
  booktitle={ICEIS (1)},
  pages={525--531},
  year={2023}
}</t>
  </si>
  <si>
    <t>@article{varon2021state,
  title={The state of MLOps},
  author={Var{\'o}n Maya, Andr{\'e}s Felipe},
  year={2021},
  publisher={Universidad de los Andes}
}</t>
  </si>
  <si>
    <t>@inproceedings{hanchuk2024automating,
  title={Automating machine learning: A meta-synthesis of MLOps tools, frameworks and architectures.},
  author={Hanchuk, Danylo O and Semerikov, Serhiy O},
  booktitle={CS\&amp;SE@ SW},
  pages={362--414},
  year={2024}
}</t>
  </si>
  <si>
    <t>"@inproceedings{hanchuk2024automating,
  title={Automating machine learning: A meta-synthesis of MLOps tools, frameworks and architectures.},
  author={Hanchuk, Danylo O and Semerikov, Serhiy O},
  booktitle={CS\&amp;SE@ SW},
  pages={362--414},
  year={2024}
}"</t>
  </si>
  <si>
    <t>@article{warnett2024understandability,
  title={On the understandability of MLOps system architectures},
  author={Warnett, Stephen John and Zdun, Uwe},
  journal={IEEE Transactions on Software Engineering},
  volume={50},
  number={5},
  pages={1015--1039},
  year={2024},
  publisher={IEEE}
}</t>
  </si>
  <si>
    <t>@inproceedings{amou2024analysis,
  title={An analysis of MLOps architectures: A systematic mapping study},
  author={Amou Najafabadi, Faezeh and Bogner, Justus and Gerostathopoulos, Ilias and Lago, Patricia},
  booktitle={European Conference on Software Architecture},
  pages={69--85},
  year={2024},
  organization={Springer}
}</t>
  </si>
  <si>
    <t xml:space="preserve">@article{drori2021alphad3m,
  title={AlphaD3M: Machine learning pipeline synthesis},
  author={Drori, Iddo and Krishnamurthy, Yamuna and Rampin, Remi and Lourenco, Raoni de Paula and Ono, Jorge Piazentin and Cho, Kyunghyun and Silva, Claudio and Freire, Juliana},
  journal={arXiv preprint arXiv:2111.02508},
  year={2021}
}	</t>
  </si>
  <si>
    <t xml:space="preserve">@inproceedings{xin2021production,
  title={Production machine learning pipelines: Empirical analysis and optimization opportunities},
  author={Xin, Doris and Miao, Hui and Parameswaran, Aditya and Polyzotis, Neoklis},
  booktitle={Proceedings of the 2021 international conference on management of data},
  pages={2639--2652},
  year={2021}
}
</t>
  </si>
  <si>
    <t xml:space="preserve">@inproceedings{shang2019democratizing,
  title={Democratizing data science through interactive curation of ml pipelines},
  author={Shang, Zeyuan and Zgraggen, Emanuel and Buratti, Benedetto and Kossmann, Ferdinand and Eichmann, Philipp and Chung, Yeounoh and Binnig, Carsten and Upfal, Eli and Kraska, Tim},
  booktitle={Proceedings of the 2019 international conference on management of data},
  pages={1171--1188},
  year={2019}
}
</t>
  </si>
  <si>
    <t xml:space="preserve">@article{bhatia2023towards,
  title={Towards a change taxonomy for machine learning pipelines: Empirical study of ml pipelines and forks related to academic publications},
  author={Bhatia, Aaditya and Eghan, Ellis E and Grichi, Manel and Cavanagh, William G and Jiang, Zhen Ming and Adams, Bram},
  journal={Empirical Software Engineering},
  volume={28},
  number={3},
  pages={60},
  year={2023},
  publisher={Springer}
}
</t>
  </si>
  <si>
    <t xml:space="preserve">@inproceedings{zhou2020towards,
  title={Towards mlops: A case study of ml pipeline platform},
  author={Zhou, Yue and Yu, Yue and Ding, Bo},
  booktitle={2020 International conference on artificial intelligence and computer engineering (ICAICE)},
  pages={494--500},
  year={2020},
  organization={IEEE}
}
</t>
  </si>
  <si>
    <t>@article{rodrigues2025optimising,
  title={Optimising ML Pipeline Execution via Smart Task Placement},
  author={Rodrigues, Pedro and Corona, Julio and Antunes, M{\'a}rio and Aguiar, Rui L},
  journal={Electronics},
  volume={14},
  number={13},
  pages={2555},
  year={2025},
  publisher={MDPI}
}</t>
  </si>
  <si>
    <t xml:space="preserve">systematic literature review
@article{kansab2025machine,
  title={Machine learning pipeline for software engineering: A systematic literature review},
  author={Kansab, Samah},
  journal={arXiv preprint arXiv:2508.00045},
  year={2025}
}
</t>
  </si>
  <si>
    <t xml:space="preserve">@book{hapke2020building,
  title={Building machine learning pipelines},
  author={Hapke, Hannes and Nelson, Catherine},
  year={2020},
  publisher={O'Reilly Media}
}
</t>
  </si>
  <si>
    <t xml:space="preserve">@article{alzahawy2024intelligent,
  title={Intelligent petroleum processing: A short review on applying AI/ML to petroleum products optimization},
  author={Alzahawy, Abdallah and Issa, Hayder},
  year={2024},
  publisher={Preprints}
}
</t>
  </si>
  <si>
    <t xml:space="preserve">@article{irfanoglu2025tortoisev4,
  title={TORTOISEV4: Reimagining the NIH diffusion MRI processing pipeline},
  author={Irfanoglu, M Okan and Nayak, Amritha and Taylor, Paul and Thai, Anh and Pierpaoli, Carlo},
  journal={Imaging Neuroscience},
  volume={3},
  pages={IMAG--a},
  year={2025},
  publisher={MIT Press 255 Main Street, 9th Floor, Cambridge, Massachusetts 02142, USA~…}
}
</t>
  </si>
  <si>
    <t xml:space="preserve">@article{demir2024bridging,
  title={Bridging geo-data and natural gas pipeline design standards: A systematic review of BIM-GIS integration for natural gas pipeline asset management},
  author={Demir, Selcuk and Yomralioglu, Tahsin},
  journal={Energies},
  volume={17},
  number={10},
  pages={2306},
  year={2024},
  publisher={MDPI}
}
</t>
  </si>
  <si>
    <t xml:space="preserve">@article{wu2024data,
  title={Data pipeline training: Integrating AutoML to optimize the data flow of machine learning models},
  author={Wu, Jiang and Wang, Hongbo and Ni, Chunhe and Zhang, Chenwei and Lu, Wenran},
  journal={arXiv preprint arXiv:2402.12916},
  year={2024}
}
</t>
  </si>
  <si>
    <t xml:space="preserve">@article{madhavi2025low,
  title={Low-resource language processing: An ocr-driven summarization and translation pipeline},
  author={Madhavi, Hrishit and Cherian, Jacob and Khamkar, Yuvraj and Bhagat, Dhananjay},
  journal={arXiv preprint arXiv:2505.11177},
  year={2025}
}
</t>
  </si>
  <si>
    <t>@inproceedings{arianna2024unstructured,
  title={From unstructured documents to annotated information: an optimized pipeline to process industrial requirements},
  author={Arianna, Nocente and Riccardo, Risi and Gabriele, Pannocchia and Giulio, Rossetti},
  booktitle={Proceedings of the 2024 8th International Conference on Natural Language Processing and Information Retrieval},
  pages={272--278},
  year={2024}
}</t>
  </si>
  <si>
    <t xml:space="preserve">@article{picciani2024oktoberfest,
  title={Oktoberfest: Open-source spectral library generation and rescoring pipeline based on Prosit},
  author={Picciani, Mario and Gabriel, Wassim and Giurcoiu, Victor-George and Shouman, Omar and Hamood, Firas and Lautenbacher, Ludwig and Jensen, Cecilia Bang and M{\"u}ller, Julian and Kalhor, Mostafa and Soleymaniniya, Armin and others},
  journal={Proteomics},
  volume={24},
  number={8},
  pages={2300112},
  year={2024},
  publisher={Wiley Online Library}
}
</t>
  </si>
  <si>
    <t xml:space="preserve">@inproceedings{saha2024turb,
  title={Turb-Seg-Res: A segment-then-restore pipeline for dynamic videos with atmospheric turbulence},
  author={Saha, Ripon Kumar and Qin, Dehao and Li, Nianyi and Ye, Jinwei and Jayasuriya, Suren},
  booktitle={Proceedings of the IEEE/CVF Conference on Computer Vision and Pattern Recognition},
  pages={25286--25296},
  year={2024}
}
</t>
  </si>
  <si>
    <t xml:space="preserve">@article{chen2024cascaded,
  title={A cascaded deep learning approach for detecting pipeline defects via pretrained YOLOv5 and ViT models based on MFL data},
  author={Chen, Pengchao and Li, Rui and Fu, Kuan and Zhong, Zikang and Xie, Jialiang and Wang, Jianli and Zhu, Jianjun},
  journal={Mechanical Systems and Signal Processing},
  volume={206},
  pages={110919},
  year={2024},
  publisher={Elsevier}
}
</t>
  </si>
  <si>
    <t xml:space="preserve">@article{myllynen2024review,
  title={Review of advances in AI-powered monitoring and diagnostics for CI/CD pipelines},
  author={Myllynen, Teemu and Kamau, Eunice and Mustapha, Sikirat Damilola and Babatunde, Gideon Opeyemi and Collins, Anuoluwapo},
  journal={International Journal of Multidisciplinary Research and Growth Evaluation},
  volume={5},
  number={1},
  pages={1119--1130},
  year={2024}
}
</t>
  </si>
  <si>
    <t xml:space="preserve">@article{chen2025classification,
  title={Classification prediction of natural gas pipeline leakage faults based on deep learning: employing a lightweight CNN with attention mechanisms},
  author={Chen, Zhi and Gu, Zhibing and Qin, Long and Mi, Hongfu and Zhou, Changlin and Zhang, Haoliang and Feng, Xingzheng and Song, Tao and Wu, Ke and Wang, Xin and others},
  journal={Processes},
  volume={13},
  number={11},
  pages={3454},
  year={2025},
  publisher={MDPI}
}
</t>
  </si>
  <si>
    <t xml:space="preserve">@article{ma2024mastery,
  title={The mastery of details in the workflow of materials machine learning},
  author={Ma, Yingying and Xu, Pengcheng and Li, Minjie and Ji, Xiaobo and Zhao, Wenyue and Lu, Wencong},
  journal={npj Computational Materials},
  volume={10},
  number={1},
  pages={141},
  year={2024},
  publisher={Nature Publishing Group UK London}
}
</t>
  </si>
  <si>
    <t xml:space="preserve">@article{berberi2025machine,
  title={Machine learning operations landscape: platforms and tools},
  author={Berberi, Lisana and Kozlov, Valentin and Nguyen, Giang and S{\'a}inz-Pardo D{\'\i}az, Judith and Calatrava, Amanda and Molt{\'o}, Germ{\'a}n and Tran, Viet and L{\'o}pez Garc{\'\i}a, {\'A}lvaro},
  journal={Artificial Intelligence Review},
  volume={58},
  number={6},
  pages={167},
  year={2025},
  publisher={Springer}
}
</t>
  </si>
  <si>
    <t>@article{kampezidou2024fundamental,
  title={Fundamental components and principles of supervised machine learning workflows with numerical and categorical data},
  author={Kampezidou, Styliani I and Tikayat Ray, Archana and Bhat, Anirudh Prabhakara and Pinon Fischer, Olivia J and Mavris, Dimitri N},
  journal={Eng},
  volume={5},
  number={1},
  pages={384--416},
  year={2024},
  publisher={MDPI}
}</t>
  </si>
  <si>
    <t>@article{patel5343855machine,
  title={Machine Learning Copilot Agent: An Llm-Guided Workflow for Prognostic Gene Discovery},
  author={Patel, Vatsal and Pal, Ananya and Roy, Sourav and Patel, Abhijeet},
  journal={Available at SSRN 5343855}
}</t>
  </si>
  <si>
    <t xml:space="preserve">@article{poojary2025comprehensive,
  title={A Comprehensive Review on Scaling Machine Learning Workflows Using Cloud Technologies and DevOps},
  author={POOJARY, KARTHIK K and ABHAY, AISHWARYA R and SOWJANYA, N and POPESCU, VIRGIL and MITROI, ADRIAN T and NIOATA, ROXANA MIHAELA and RAJ, KM KIRAN},
  year={2025}
}
</t>
  </si>
  <si>
    <t xml:space="preserve">@article{kalinin2024human,
  title={Human-in-the-loop: The future of machine learning in automated electron microscopy},
  author={Kalinin, Sergei V and Liu, Yongtao and Biswas, Arpan and Duscher, Gerd and Pratiush, Utkarsh and Roccapriore, Kevin and Ziatdinov, Maxim and Vasudevan, Rama},
  journal={Microscopy today},
  volume={32},
  number={1},
  pages={35--41},
  year={2024},
  publisher={Oxford University Press US}
}
</t>
  </si>
  <si>
    <t xml:space="preserve">@article{van2023review,
  title={A review of machine learning applications for the proton MR spectroscopy workflow},
  author={van de Sande, Dennis MJ and Merkofer, Julian P and Amirrajab, Sina and Veta, Mitko and van Sloun, Ruud JG and Versluis, Maarten J and Jansen, Jacobus FA and van den Brink, Johan S and Breeuwer, Marcel},
  journal={Magnetic Resonance in Medicine},
  volume={90},
  number={4},
  pages={1253--1270},
  year={2023},
  publisher={Wiley Online Library}
}
</t>
  </si>
  <si>
    <t xml:space="preserve">@article{van2021new,
  title={New hybrid approach for developing automated machine learning workflows: a real case application in evaluation of marcellus shale gas production},
  author={Van Pham, Vuong and Fathi, Ebrahim and Belyadi, Fatemeh},
  journal={Fuels},
  volume={2},
  number={3},
  pages={286--303},
  year={2021},
  publisher={MDPI}
}
</t>
  </si>
  <si>
    <t xml:space="preserve">@article{el2023deep,
  title={Deep learning approach to security enforcement in cloud workflow orchestration},
  author={El-Kassabi, Hadeel T and Serhani, Mohamed Adel and Masud, Mohammad M and Shuaib, Khaled and Khalil, Khaled},
  journal={Journal of Cloud Computing},
  volume={12},
  number={1},
  pages={10},
  year={2023},
  publisher={Springer}
}
</t>
  </si>
  <si>
    <t xml:space="preserve">@article{jana2023framework,
  title={Framework for Automated Machine Learning Workflows: Building End-to-End MLOps Tools for Scalable Systems on AWS},
  author={Jana, AK},
  journal={J Artif Intell Mach Learn \&amp; Data Sci},
  volume={1},
  number={3},
  pages={575--579},
  year={2023}
}
</t>
  </si>
  <si>
    <t xml:space="preserve">@article{le2025leveraging,
  title={Leveraging Machine Learning and Enhanced Parallelism Detection for BPMN Model Generation from Text},
  author={L{\^e}, Phuong Nam and Schneider-Depr{\'e}, Charlotte and Goossens, Alexandre and Stevens, Alexander and Leribaux, Aur{\'e}lie and De Smedt, Johannes},
  journal={arXiv preprint arXiv:2507.08362},
  year={2025}
}
</t>
  </si>
  <si>
    <t xml:space="preserve">@article{horner2026automatically,
  title={Automatically Generating BPMN 2.0 Process Models from Natural Language Process Descriptions: Challenges, Framework, Quality Assessment},
  author={H{\"o}rner, Luca Franziska and M{\"o}ller, Maximilian and Reichert, Manfred},
  journal={Business \&amp; Information Systems Engineering},
  pages={1--25},
  year={2026},
  publisher={Springer}
}
</t>
  </si>
  <si>
    <t xml:space="preserve">@article{koneva2025extension,
  title={An extension to BPMN 2.0 with incorporate new artifacts for RPA and IPA},
  author={Koneva, Anna},
  year={2025}
}
</t>
  </si>
  <si>
    <t>@inproceedings{maita2024interpreting,
  title={Interpreting business process case outcome prediction with XAI},
  author={Maita, Ana Roc{\'\i}o C{\'a}rdenas},
  booktitle={Latinx in AI@ NeurIPS 2024}
}</t>
  </si>
  <si>
    <t xml:space="preserve">@inproceedings{maita2024interpreting,
  title={Interpreting business process case outcome prediction with XAI},
  author={Maita, Ana Roc{\'\i}o C{\'a}rdenas},
  booktitle={Latinx in AI@ NeurIPS 2024}
}
</t>
  </si>
  <si>
    <t>@article{barata2025data,
  title={Data Science meets BPMN: A Taxonomy of Data Objects Modeling},
  author={Barata, In{\^e}s and Ribeiro, Vitor and Barata, Jo{\~a}o and Rupino da Cunha, Paulo},
  year={2025}
}</t>
  </si>
  <si>
    <t xml:space="preserve">@article{ccelikmasat2025instruction,
  title={Instruction-Tuning Open-Weight Language Models for BPMN Model Generation},
  author={{\c{C}}elikmasat, G{\"o}kberk and {\"O}zg{\"o}vde, Atay and Aydemir, Fatma Ba{\c{s}}ak},
  journal={arXiv preprint arXiv:2512.12063},
  year={2025}
}
</t>
  </si>
  <si>
    <t>@article{riccardo2025ai,
  title={AI-Driven Process Mining for ESG Risk Assessment in Sustainable Management},
  author={Riccardo, Censi and Campana, Paola and Bellini, Francesco and Fulvio, Schettino and Chiara, De Pucchio},
  journal={Buildings},
  volume={15},
  number={23},
  pages={4260},
  year={2025},
  publisher={MDPI AG}
}</t>
  </si>
  <si>
    <t>@article{ebel2025developing,
  title={Developing and Qualifying an ML Application for MRO Assistance},
  author={Ebel, Helena and Kremer, Gerald and Geldenhuys, Morgan and Rasskazova, Oksana and Kern, Rene and Stark, Rainer},
  journal={Zeitschrift f{\"u}r wirtschaftlichen Fabrikbetrieb},
  volume={120},
  number={s1},
  pages={202--207},
  year={2025},
  publisher={De Gruyter}
}</t>
  </si>
  <si>
    <t xml:space="preserve">@article{tuấn2024towards,
  title={Towards a model for integrating process verification in process-driven application development},
  author={Tuấn, Nguyễn Thanh and H{\`a}, Ho{\`a}ng Thị Thanh and others},
  journal={Tạp ch{\'\i} Khoa học v{\`a} C{\^o}ng nghệ-{\DJ}ại học {\DJ}{\`a} Nẵng},
  pages={59--64},
  year={2024}
}
</t>
  </si>
  <si>
    <t xml:space="preserve">@article{zeydan2024managing,
  title={Managing distributed machine learning lifecycle for healthcare data in the cloud},
  author={Zeydan, Engin and Arslan, Suayb S and Liyanage, Madhusanka},
  journal={IEEe Access},
  volume={12},
  pages={115750--115774},
  year={2024},
  publisher={IEEE}
}
</t>
  </si>
  <si>
    <t>@article{bassey2024ai,
  title={AI-Enhanced lifecycle assessment of renewable energy systems},
  author={Bassey, Kelvin Edem and Juliet, Ayanwunmi Rebecca and Stephen, Akindipe O},
  journal={Engineering Science \&amp; Technology Journal},
  volume={5},
  number={7},
  pages={2082--2099},
  year={2024}
}</t>
  </si>
  <si>
    <t xml:space="preserve">@article{zeller2024toward,
  title={Toward a safe MLOps process for the continuous development and safety assurance of ML-based systems in the railway domain},
  author={Zeller, Marc and Waschulzik, Thomas and Schmid, Reiner and Bahlmann, Claus},
  journal={AI and Ethics},
  volume={4},
  number={1},
  pages={123--130},
  year={2024},
  publisher={Springer}
}
</t>
  </si>
  <si>
    <t xml:space="preserve">@inproceedings{duran2024gaissalabel,
  title={GAISSALabel: A tool for energy labeling of ML models},
  author={Duran, Pau and Casta{\~n}o, Joel and G{\'o}mez, Cristina and Mart{\'\i}nez-Fern{\'a}ndez, Silverio},
  booktitle={Companion Proceedings of the 32nd ACM International Conference on the Foundations of Software Engineering},
  pages={622--626},
  year={2024}
}
</t>
  </si>
  <si>
    <t xml:space="preserve">@article{moreschini2025ai,
  title={AI techniques in the microservices life-cycle: A systematic mapping study},
  author={Moreschini, Sergio and Pour, Shahrzad and Lanese, Ivan and Balouek, Daniel and Bogner, Justus and Li, Xiaozhou and Pecorelli, Fabiano and Soldani, Jacopo and Truyen, Eddy and Taibi, Davide},
  journal={Computing},
  volume={107},
  number={4},
  pages={100},
  year={2025},
  publisher={Springer}
}
</t>
  </si>
  <si>
    <t xml:space="preserve">@article{hubner2024machine,
  title={Machine-learning-based demand forecasting against food waste: Life cycle environmental impacts and benefits of a bakery case study},
  author={H{\"u}bner, Nicolas and Caspers, Justus and Coroam{\u{a}}, Vlad Constantin and Finkbeiner, Matthias},
  journal={Journal of Industrial Ecology},
  volume={28},
  number={5},
  pages={1117--1131},
  year={2024},
  publisher={Wiley Online Library}
}
</t>
  </si>
  <si>
    <t>@inproceedings{miao2017towards,
  title={Towards unified data and lifecycle management for deep learning},
  author={Miao, Hui and Li, Ang and Davis, Larry S and Deshpande, Amol},
  booktitle={2017 IEEE 33rd International Conference on Data Engineering (ICDE)},
  pages={571--582},
  year={2017},
  organization={IEEE}
}</t>
  </si>
  <si>
    <t xml:space="preserve">@article{huang2025ai,
  title={AI/ML Life Cycle Management for Interoperable AI Native RAN},
  author={Huang, Chu-Hsiang and Wen, Chao-Kai and Li, Geoffrey Ye},
  journal={arXiv preprint arXiv:2507.18538},
  year={2025}
}
</t>
  </si>
  <si>
    <t xml:space="preserve">@article{borzi2025freezing,
  title={Freezing of gait detection: The effect of sensor type, position, activities, datasets, and machine learning model},
  author={Borz{\`\i}, Luigi and Demrozi, Florenc and Bacchin, Ruggero Angelo and Turetta, Cristian and Sigcha, Luis and Rinaldi, Domiziana and Fazzina, Giuliana and Balestro, Giulio and Picelli, Alessandro and Pravadelli, Graziano and others},
  journal={Journal of Parkinson’s Disease},
  volume={15},
  number={1},
  pages={163--181},
  year={2025},
  publisher={SAGE Publications Sage UK: London, England}
}
</t>
  </si>
  <si>
    <t>@article{yamane2025effects,
  title={Effects of sampling frequency on human activity recognition with machine learning aiming at clinical applications},
  author={Yamane, Takahiro and Kimura, Moeka and Morita, Mizuki},
  journal={Sensors},
  volume={25},
  number={12},
  pages={3780},
  year={2025},
  publisher={MDPI}
}</t>
  </si>
  <si>
    <t xml:space="preserve">@article{omi2026machine,
  title={Machine learning-based prediction of activities of daily living in patients with stroke and other acquired brain injuries},
  author={Omi, Chizuko and Wada, Yuichi},
  journal={Medicine},
  volume={105},
  number={8},
  pages={e47811},
  year={2026},
  publisher={LWW}
}
</t>
  </si>
  <si>
    <t xml:space="preserve">@article{alansari2025machine,
  title={A Machine Learning Approach to Explore and Predict Student Motivation Types},
  author={Alansari, Hafsa and Abdulwahhab, Rasha Shakir and Ward, Rupert},
  journal={IEEE Access},
  year={2025},
  publisher={IEEE}
}
</t>
  </si>
  <si>
    <t xml:space="preserve">@article{tara2025ecg,
  title={ECG based human activity-specific cardiac pattern detection using machine-learning and deep-learning models},
  author={Tara, Kusum and Islam, Md Hasibul and Sugi, Takenao},
  journal={Journal of Electrocardiology},
  volume={90},
  pages={153899},
  year={2025},
  publisher={Elsevier}
}
</t>
  </si>
  <si>
    <t>@article{wang2025machine,
  title={Machine learning approach to student performance prediction of online learning},
  author={Wang, Jing and Yu, Yun},
  journal={PloS one},
  volume={20},
  number={1},
  pages={e0299018},
  year={2025},
  publisher={Public Library of Science San Francisco, CA USA}
}</t>
  </si>
  <si>
    <t>@article{wu2025machine,
  title={Machine learning-supported determination for site-specific natural background values of soil heavy metals},
  author={Wu, Jian and Huang, Chengmin},
  journal={Journal of hazardous materials},
  volume={487},
  pages={137276},
  year={2025},
  publisher={Elsevier}
}</t>
  </si>
  <si>
    <t xml:space="preserve">@article{noei2025detecting,
  title={Detecting refactoring commits in machine learning python projects: A machine learning-based approach},
  author={Noei, Shayan and Li, Heng and Zou, Ying},
  journal={ACM Transactions on Software Engineering and Methodology},
  volume={34},
  number={3},
  pages={1--25},
  year={2025},
  publisher={ACM New York, NY}
}
</t>
  </si>
  <si>
    <t xml:space="preserve">@article{ingle2025unsupervised,
  title={Unsupervised Machine Learning to Detect Abnormal Activities using CNN \&amp; 3D Spatial-Temporal AutoEncoder (3DSTAE)},
  author={Ingle, Mandakini and Rane, Pinky and Sharma, Harshraj and Goyal, Ishika and Nakum, Kapil},
  journal={AIJR Proceedings},
  volume={7},
  number={6},
  pages={341--348},
  year={2025}
}
</t>
  </si>
  <si>
    <t xml:space="preserve">@article{lamani2025svm,
  title={SVM directed machine learning classifier for human action recognition network},
  author={Lamani, Dharmanna and Kumar, Pramod and Bhagyalakshmi, A and Shanthi, J Maria and Maguluri, Lakshmana Phaneendra and Arif, Mohammad and Dhanamjayulu, C and K, Sathish Kumar and Khan, Baseem},
  journal={Scientific Reports},
  volume={15},
  number={1},
  pages={672},
  year={2025},
  publisher={Nature Publishing Group UK London}
}
</t>
  </si>
  <si>
    <t>@article{ejaz2025comprehensive,
  title={A comprehensive survey of the machine learning pipeline for wildfire risk prediction and assessment},
  author={Ejaz, Naveed and Choudhury, Salimur},
  journal={Ecological Informatics},
  pages={103325},
  year={2025},
  publisher={Elsevier}
}</t>
  </si>
  <si>
    <t xml:space="preserve">@article{cong2022data, title={Data pricing in machine learning pipelines}, author={Cong, Zicun and Luo, Xuan and Pei, Jian and Zhu, Feida and Zhang, Yong}, journal={Knowledge and Information Systems}, volume={64}, number={6}, pages={1417--1455}, year={2022}, publisher={Springer} } </t>
  </si>
  <si>
    <t xml:space="preserve">@inproceedings{olson2016tpot, title={TPOT: A tree-based pipeline optimization tool for automating machine learning}, author={Olson, Randal S and Moore, Jason H}, booktitle={Workshop on automatic machine learning}, pages={66--74}, year={2016}, organization={PMLR} } </t>
  </si>
  <si>
    <t xml:space="preserve">@article{roman2021machine, title={Machine learning pipeline for battery state-of-health estimation}, author={Roman, Darius and Saxena, Saurabh and Robu, Valentin and Pecht, Michael and Flynn, David}, journal={Nature Machine Intelligence}, volume={3}, number={5}, pages={447--456}, year={2021}, publisher={Nature Publishing Group UK London} } </t>
  </si>
  <si>
    <t xml:space="preserve">@article{hussain2024review, title={Review of prediction of stress corrosion cracking in gas pipelines using machine learning}, author={Hussain, Muhammad and Zhang, Tieling and Chaudhry, Muzaffar and Jamil, Ishrat and Kausar, Shazia and Hussain, Intizar}, journal={Machines}, volume={12}, number={1}, pages={42}, year={2024}, publisher={MDPI} } </t>
  </si>
  <si>
    <t xml:space="preserve">@article{soomro2024analysis, title={Analysis of machine learning models and data sources to forecast burst pressure of petroleum corroded pipelines: A comprehensive review}, author={Soomro, Afzal Ahmed and Mokhtar, Ainul Akmar and Hussin, Hilmi B and Lashari, Najeebullah and Oladosu, Temidayo Lekan and Jameel, Syed Muslim and Inayat, Muddasser}, journal={Engineering Failure Analysis}, volume={155}, pages={107747}, year={2024}, publisher={Elsevier} } </t>
  </si>
  <si>
    <t>4.2</t>
  </si>
  <si>
    <t>4.5</t>
  </si>
  <si>
    <t>5.1</t>
  </si>
  <si>
    <t>5.2</t>
  </si>
  <si>
    <t>5.4</t>
  </si>
  <si>
    <t>4.1</t>
  </si>
  <si>
    <t>6.3</t>
  </si>
  <si>
    <t>6.4</t>
  </si>
  <si>
    <t>2.7</t>
  </si>
  <si>
    <t>2.9</t>
  </si>
  <si>
    <t>2.12</t>
  </si>
  <si>
    <t>2.13</t>
  </si>
  <si>
    <t>2.14</t>
  </si>
  <si>
    <t>2.15</t>
  </si>
  <si>
    <t>2.25</t>
  </si>
  <si>
    <t>1.3</t>
  </si>
  <si>
    <t>1.10</t>
  </si>
  <si>
    <t>2.1</t>
  </si>
  <si>
    <t>2.3</t>
  </si>
  <si>
    <t>2.5</t>
  </si>
  <si>
    <t>2.6</t>
  </si>
  <si>
    <t>3.2</t>
  </si>
  <si>
    <t>1.6</t>
  </si>
  <si>
    <t>4.3</t>
  </si>
  <si>
    <t>4.4</t>
  </si>
  <si>
    <t>4.6</t>
  </si>
  <si>
    <t>4.7</t>
  </si>
  <si>
    <t>4.8</t>
  </si>
  <si>
    <t>4.9</t>
  </si>
  <si>
    <t>3.1</t>
  </si>
  <si>
    <t>4.16</t>
  </si>
  <si>
    <t>2</t>
  </si>
  <si>
    <t>5</t>
  </si>
  <si>
    <t>1</t>
  </si>
  <si>
    <t>4</t>
  </si>
  <si>
    <t>3</t>
  </si>
  <si>
    <t>6</t>
  </si>
  <si>
    <t>7</t>
  </si>
  <si>
    <t>1.1</t>
  </si>
  <si>
    <t>1.4</t>
  </si>
  <si>
    <t>2.2</t>
  </si>
  <si>
    <t>8</t>
  </si>
  <si>
    <t>9</t>
  </si>
  <si>
    <t>10</t>
  </si>
  <si>
    <t>16</t>
  </si>
  <si>
    <t>17</t>
  </si>
  <si>
    <t xml:space="preserve">@article{zhang2024lightpersml, title={LightPersML: A Lightweight Machine Learning Pipeline Architecture for Real-Time Personalization in Resource-Constrained E-commerce Businesses}, author={Zhang, Sida and Mo, Tianjun and Zhang, Zhengyi and others}, journal={Journal of Advanced Computing Systems}, volume={4}, number={8}, pages={44--56}, year={2024} } </t>
  </si>
  <si>
    <t xml:space="preserve">@inproceedings{karlavs2025navigating, title={Navigating data errors in machine learning pipelines: Identify, debug, and learn}, author={Karla{\v{s}}, Bojan and Salimi, Babak and Schelter, Sebastian}, booktitle={Companion of the 2025 International Conference on Management of Data}, pages={813--820}, year={2025} } </t>
  </si>
  <si>
    <t xml:space="preserve">@article{prashanthan2025retennet, title={RetenNet: A Deployable Machine Learning Pipeline with Explainable AI and Prescriptive Optimization for Customer Churn Management}, author={Prashanthan, Amirthanathan and Roshan, Rinzy and Maduranga, MWP}, journal={Journal of Future Artificial Intelligence and Technologies}, volume={2}, number={2}, pages={182--201}, year={2025} } </t>
  </si>
  <si>
    <t xml:space="preserve">@article{nasteski2017overview, title={An overview of the supervised machine learning methods}, author={Nasteski, Vladimir}, journal={Horizons. b}, volume={4}, number={51-62}, pages={56}, year={2017} } </t>
  </si>
  <si>
    <t xml:space="preserve">@article{studer2021towards, title={Towards CRISP-ML (Q): a machine learning process model with quality assurance methodology}, author={Studer, Stefan and Bui, Thanh Binh and Drescher, Christian and Hanuschkin, Alexander and Winkler, Ludwig and Peters, Steven and M{\"u}ller, Klaus-Robert}, journal={Machine learning and knowledge extraction}, volume={3}, number={2}, pages={392--413}, year={2021}, publisher={MDPI} } </t>
  </si>
  <si>
    <t xml:space="preserve">@article{amini2023machine, title={Machine learning process evaluating damage classification of composites}, author={Amini, Mahyar and Rahmani, Ali}, journal={International Journal of Science and Advanced Technology}, volume={9}, number={2023}, pages={240--250}, year={2023} } </t>
  </si>
  <si>
    <t xml:space="preserve">@article{gong2019diversity, title={Diversity in machine learning}, author={Gong, Zhiqiang and Zhong, Ping and Hu, Weidong}, journal={Ieee Access}, volume={7}, pages={64323--64350}, year={2019}, publisher={Ieee} } </t>
  </si>
  <si>
    <t xml:space="preserve">@article{janiesch2021machine, title={Machine learning and deep learning: C. Janiesch et al.}, author={Janiesch, Christian and Zschech, Patrick and Heinrich, Kai}, journal={Electronic markets}, volume={31}, number={3}, pages={685--695}, year={2021}, publisher={Springer} } </t>
  </si>
  <si>
    <t xml:space="preserve">@article{rymarczyk2019logistic, title={Logistic regression for machine learning in process tomography}, author={Rymarczyk, Tomasz and Koz{\l}owski, Edward and K{\l}osowski, Grzegorz and Niderla, Konrad}, journal={Sensors}, volume={19}, number={15}, pages={3400}, year={2019}, publisher={MDPI} } </t>
  </si>
  <si>
    <t xml:space="preserve">@article{taye2023understanding, title={Understanding of machine learning with deep learning: architectures, workflow, applications and future directions}, author={Taye, Mohammad Mustafa}, journal={Computers}, volume={12}, number={5}, pages={91}, year={2023}, publisher={Mdpi} } </t>
  </si>
  <si>
    <t xml:space="preserve">@article{wang2017machine, title={Machine learning for networking: Workflow, advances and opportunities}, author={Wang, Mowei and Cui, Yong and Wang, Xin and Xiao, Shihan and Jiang, Junchen}, journal={Ieee Network}, volume={32}, number={2}, pages={92--99}, year={2017}, publisher={IEEE} } </t>
  </si>
  <si>
    <t xml:space="preserve">@article{quemy2020two, title={Two-stage optimization for machine learning workflow}, author={Quemy, Alexandre}, journal={Information Systems}, volume={92}, pages={101483}, year={2020}, publisher={Elsevier} } </t>
  </si>
  <si>
    <t xml:space="preserve">@article{warnett2022architectural, title={Architectural design decisions for the machine learning workflow}, author={Warnett, Stephen John and Zdun, Uwe}, journal={Computer}, volume={55}, number={3}, pages={40--51}, year={2022}, publisher={IEEE} } </t>
  </si>
  <si>
    <t xml:space="preserve">@article{zufle2022machine, title={A machine learning-based workflow for automatic detection of anomalies in machine tools}, author={Z{\"u}fle, Marwin and Moog, Felix and Lesch, Veronika and Krupitzer, Christian and Kounev, Samuel}, journal={ISA transactions}, volume={125}, pages={445--458}, year={2022}, publisher={Elsevier} } </t>
  </si>
  <si>
    <t xml:space="preserve">@article{andersen2024supervised, title={A supervised machine learning workflow for the reduction of highly dimensional biological data}, author={Andersen, Linnea K and Reading, Benjamin J}, journal={Artificial Intelligence in the Life Sciences}, volume={5}, pages={100090}, year={2024}, publisher={Elsevier} } </t>
  </si>
  <si>
    <t xml:space="preserve">@article{souza2022workflow, title={Workflow provenance in the lifecycle of scientific machine learning}, author={Souza, Renan and Azevedo, Leonardo G and Louren{\c{c}}o, V{\'\i}tor and Soares, Elton and Thiago, Raphael and Brand{\~a}o, Rafael and Civitarese, Daniel and Vital Brazil, Emilio and Moreno, Marcio and Valduriez, Patrick and others}, journal={Concurrency and Computation: Practice and Experience}, volume={34}, number={14}, pages={e6544}, year={2022}, publisher={Wiley Online Library} } </t>
  </si>
  <si>
    <t xml:space="preserve">@article{leong2025mermaid, title={MERMaid: Universal multimodal mining of chemical reactions from PDFs using vision-language models}, author={Leong, Shi Xuan and Pablo-Garc{\'\i}a, Sergio and Wong, Brandon and Aspuru-Guzik, Al{\'a}n}, journal={Matter}, volume={8}, number={12}, year={2025}, publisher={Elsevier} } </t>
  </si>
  <si>
    <t xml:space="preserve">@inproceedings{toh2023mermaid, title={Mermaid: A dataset and framework for multimodal meme semantic understanding}, author={Toh, Shaun and Kuek, Adriel and Chong, Wen-Haw and Lee, Roy Ka-Wei}, booktitle={2023 IEEE International Conference on Big Data (BigData)}, pages={433--442}, year={2023}, organization={IEEE} } </t>
  </si>
  <si>
    <t xml:space="preserve">@article{liguori2025breaking, title={Breaking domain barriers: mixture of experts for cross-domain fake news detection}, author={Liguori, Angelica and Pisani, Francesco Sergio and Comito, Carmela and Guarascio, Massimo and Manco, Giuseppe}, journal={Machine Learning}, volume={114}, number={8}, pages={188}, year={2025}, publisher={Springer} } </t>
  </si>
  <si>
    <t xml:space="preserve">@article{al2020composite, title={A composite machine-learning-based framework for supporting low-level event logs to high-level business process model activities mappings enhanced by flexible BPMN model translation: H. Al-Ali et al.}, author={Al-Ali, Hamda and Cuzzocrea, Alfredo and Damiani, Ernesto and Mizouni, Rabeb and Tello, Ghalia}, journal={Soft Computing}, volume={24}, number={10}, pages={7557--7578}, year={2020}, publisher={Springer} } </t>
  </si>
  <si>
    <t xml:space="preserve">@article{kopp2024software, title={Software development and research for machine learning-based structural errors detection in BPMN models}, author={Kopp, Andrii and Orlovskyi, Dmytro and Gamayun, Igor and Sapozhnykov, Illia}, journal={Bulletin of National Technical University" KhPI". Series: System Analysis, Control and Information Technologies}, number={2 (12)}, pages={46--55}, year={2024} } </t>
  </si>
  <si>
    <t xml:space="preserve">@article{le2025leveraging, title={Leveraging Machine Learning and Enhanced Parallelism Detection for BPMN Model Generation from Text}, author={L{\^e}, Phuong Nam and Schneider-Depr{\'e}, Charlotte and Goossens, Alexandre and Stevens, Alexander and Leribaux, Aur{\'e}lie and De Smedt, Johannes}, journal={arXiv preprint arXiv:2507.08362}, year={2025} } </t>
  </si>
  <si>
    <t xml:space="preserve">@article{quatrini2020machine, title={Machine learning for anomaly detection and process phase classification to improve safety and maintenance activities}, author={Quatrini, Elena and Costantino, Francesco and Di Gravio, Giulio and Patriarca, Riccardo}, journal={Journal of Manufacturing Systems}, volume={56}, pages={117--132}, year={2020}, publisher={Elsevier} } </t>
  </si>
  <si>
    <t xml:space="preserve">@article{schlegel2023management, title={Management of machine learning lifecycle artifacts: A survey}, author={Schlegel, Marius and Sattler, Kai-Uwe}, journal={ACM SIGMOD Record}, volume={51}, number={4}, pages={18--35}, year={2023}, publisher={ACM New York, NY, USA} } </t>
  </si>
  <si>
    <t xml:space="preserve">@article{spjuth2021machine, title={The machine learning life cycle and the cloud: implications for drug discovery}, author={Spjuth, Ola and Frid, Jens and Hellander, Andreas}, journal={Expert opinion on drug discovery}, volume={16}, number={9}, pages={1071--1079}, year={2021}, publisher={Taylor \&amp; Francis} } </t>
  </si>
  <si>
    <t xml:space="preserve">@inproceedings{souza2019provenance, title={Provenance data in the machine learning lifecycle in computational science and engineering}, author={Souza, Renan and Azevedo, Leonardo and Louren{\c{c}}o, V{\'\i}tor and Soares, Elton and Thiago, Raphael and Brand{\~a}o, Rafael and Civitarese, Daniel and Brazil, Emilio and Moreno, Marcio and Valduriez, Patrick and others}, booktitle={2019 IEEE/ACM Workflows in Support of Large-Scale Science (WORKS)}, pages={1--10}, year={2019}, organization={IEEE} } </t>
  </si>
  <si>
    <t>@article{kopp2024software, title={Software development and research for machine learning-based structural errors detection in BPMN models}, author={Kopp, Andrii and Orlovskyi, Dmytro and Gamayun, Igor and Sapozhnykov, Illia}, journal={Bulletin of National Technical University" KhPI". Series: System Analysis, Control and Information Technologies}, number={2 (12)}, pages={46--55}, year={2024} }</t>
  </si>
  <si>
    <t>@article{sokoudjou2023chipless, title={Chipless RFID tag implementation and machine-learning workflow for robust identification}, author={Sokoudjou, J Junior Fodop and Villa-Gonz{\'a}lez, F{\'a}tima and Garc{\'\i}a-Cardarelli, Pablo and D{\'\i}az, Javier and Valderas, Daniel and Ochoa, Idoia}, journal={IEEE Transactions on Microwave Theory and Techniques}, volume={71}, number={12}, pages={5147--5159}, year={2023}, publisher={IEEE} }</t>
  </si>
  <si>
    <t>Paper number</t>
  </si>
  <si>
    <t>Figure number</t>
  </si>
  <si>
    <t>Citation (BibTex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</si>
</sst>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1" fillId="0" borderId="0" xfId="0" applyNumberFormat="1" applyFont="1" applyAlignment="1">
      <alignment wrapText="1"/>
    </xf>
    <xf numFmtId="0" fontId="0" fillId="0" borderId="0" xfId="0" applyAlignment="1">
      <alignment wrapText="1"/>
    </xf>
    <xf numFmtId="49" fontId="0" fillId="0" borderId="0" xfId="0" applyNumberFormat="1" applyAlignment="1">
      <alignment wrapText="1"/>
    </xf>
  </cellXfs>
  <cellStyles count="1">
    <cellStyle name="Normal" xfId="0" builtinId="0"/>
  </cellStyles>
  <dxfs count="5">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489843-9225-4B4D-84A7-EBCFB356933D}" name="Tableau1" displayName="Tableau1" ref="A1:C1048576" totalsRowShown="0" headerRowDxfId="4" dataDxfId="3">
  <autoFilter ref="A1:C1048576" xr:uid="{C4489843-9225-4B4D-84A7-EBCFB356933D}"/>
  <tableColumns count="3">
    <tableColumn id="1" xr3:uid="{93261D5E-3396-488D-AB54-33DDDAC8B69D}" name="Paper number" dataDxfId="2"/>
    <tableColumn id="2" xr3:uid="{98120176-D430-40D5-A60A-5048471D3610}" name="Figure number" dataDxfId="1"/>
    <tableColumn id="3" xr3:uid="{9F763AFC-B48C-4CCF-8539-18964C0DD029}" name="Citation (BibTex Code)" dataDxfId="0"/>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62AAE-F650-4A60-BDCE-D84FF0EC7CDB}">
  <dimension ref="A1:E212"/>
  <sheetViews>
    <sheetView tabSelected="1" zoomScale="75" zoomScaleNormal="100" workbookViewId="0">
      <selection activeCell="I3" sqref="I3"/>
    </sheetView>
  </sheetViews>
  <sheetFormatPr baseColWidth="10" defaultColWidth="8.88671875" defaultRowHeight="13.2" x14ac:dyDescent="0.25"/>
  <cols>
    <col min="1" max="1" width="21.109375" style="2" bestFit="1" customWidth="1"/>
    <col min="2" max="2" width="20.5546875" style="3" bestFit="1" customWidth="1"/>
    <col min="3" max="3" width="70" style="3" customWidth="1"/>
    <col min="4" max="16384" width="8.88671875" style="2"/>
  </cols>
  <sheetData>
    <row r="1" spans="1:5" x14ac:dyDescent="0.25">
      <c r="A1" s="1" t="s">
        <v>172</v>
      </c>
      <c r="B1" s="1" t="s">
        <v>173</v>
      </c>
      <c r="C1" s="1" t="s">
        <v>174</v>
      </c>
      <c r="E1" s="1"/>
    </row>
    <row r="2" spans="1:5" ht="79.2" x14ac:dyDescent="0.25">
      <c r="A2" s="2" cm="1">
        <f t="array" ref="A2">IF(ISNUMBER(MATCH(TRUE, $C$1:C1=C2, 0)), INDEX($A$1:A1, MATCH(TRUE, $C$1:C1=C2, 0)), MAX($A$1:A1)+1)</f>
        <v>1</v>
      </c>
      <c r="B2" s="3" t="s">
        <v>98</v>
      </c>
      <c r="C2" s="1" t="s">
        <v>0</v>
      </c>
    </row>
    <row r="3" spans="1:5" ht="79.2" x14ac:dyDescent="0.25">
      <c r="A3" s="2" cm="1">
        <f t="array" ref="A3">IF(ISNUMBER(MATCH(TRUE, $C$1:C2=C3, 0)), INDEX($A$1:A2, MATCH(TRUE, $C$1:C2=C3, 0)), MAX($A$1:A2)+1)</f>
        <v>1</v>
      </c>
      <c r="B3" s="3" t="s">
        <v>99</v>
      </c>
      <c r="C3" s="1" t="s">
        <v>0</v>
      </c>
    </row>
    <row r="4" spans="1:5" ht="79.2" x14ac:dyDescent="0.25">
      <c r="A4" s="2" cm="1">
        <f t="array" ref="A4">IF(ISNUMBER(MATCH(TRUE, $C$1:C3=C4, 0)), INDEX($A$1:A3, MATCH(TRUE, $C$1:C3=C4, 0)), MAX($A$1:A3)+1)</f>
        <v>1</v>
      </c>
      <c r="B4" s="3" t="s">
        <v>100</v>
      </c>
      <c r="C4" s="3" t="s">
        <v>0</v>
      </c>
    </row>
    <row r="5" spans="1:5" ht="79.2" x14ac:dyDescent="0.25">
      <c r="A5" s="2" cm="1">
        <f t="array" ref="A5">IF(ISNUMBER(MATCH(TRUE, $C$1:C4=C5, 0)), INDEX($A$1:A4, MATCH(TRUE, $C$1:C4=C5, 0)), MAX($A$1:A4)+1)</f>
        <v>1</v>
      </c>
      <c r="B5" s="3" t="s">
        <v>101</v>
      </c>
      <c r="C5" s="3" t="s">
        <v>0</v>
      </c>
    </row>
    <row r="6" spans="1:5" ht="79.2" x14ac:dyDescent="0.25">
      <c r="A6" s="2" cm="1">
        <f t="array" ref="A6">IF(ISNUMBER(MATCH(TRUE, $C$1:C5=C6, 0)), INDEX($A$1:A5, MATCH(TRUE, $C$1:C5=C6, 0)), MAX($A$1:A5)+1)</f>
        <v>1</v>
      </c>
      <c r="B6" s="3" t="s">
        <v>102</v>
      </c>
      <c r="C6" s="3" t="s">
        <v>0</v>
      </c>
    </row>
    <row r="7" spans="1:5" ht="118.8" x14ac:dyDescent="0.25">
      <c r="A7" s="2" cm="1">
        <f t="array" ref="A7">IF(ISNUMBER(MATCH(TRUE, $C$1:C6=C7, 0)), INDEX($A$1:A6, MATCH(TRUE, $C$1:C6=C7, 0)), MAX($A$1:A6)+1)</f>
        <v>2</v>
      </c>
      <c r="B7" s="3" t="s">
        <v>131</v>
      </c>
      <c r="C7" s="3" t="s">
        <v>1</v>
      </c>
    </row>
    <row r="8" spans="1:5" ht="145.19999999999999" x14ac:dyDescent="0.25">
      <c r="A8" s="2" cm="1">
        <f t="array" ref="A8">IF(ISNUMBER(MATCH(TRUE, $C$1:C7=C8, 0)), INDEX($A$1:A7, MATCH(TRUE, $C$1:C7=C8, 0)), MAX($A$1:A7)+1)</f>
        <v>3</v>
      </c>
      <c r="B8" s="3" t="s">
        <v>131</v>
      </c>
      <c r="C8" s="3" t="s">
        <v>2</v>
      </c>
    </row>
    <row r="9" spans="1:5" ht="92.4" x14ac:dyDescent="0.25">
      <c r="A9" s="2" cm="1">
        <f t="array" ref="A9">IF(ISNUMBER(MATCH(TRUE, $C$1:C8=C9, 0)), INDEX($A$1:A8, MATCH(TRUE, $C$1:C8=C9, 0)), MAX($A$1:A8)+1)</f>
        <v>4</v>
      </c>
      <c r="B9" s="3">
        <v>1</v>
      </c>
      <c r="C9" s="3" t="s">
        <v>3</v>
      </c>
    </row>
    <row r="10" spans="1:5" ht="79.2" x14ac:dyDescent="0.25">
      <c r="A10" s="2" cm="1">
        <f t="array" ref="A10">IF(ISNUMBER(MATCH(TRUE, $C$1:C9=C10, 0)), INDEX($A$1:A9, MATCH(TRUE, $C$1:C9=C10, 0)), MAX($A$1:A9)+1)</f>
        <v>5</v>
      </c>
      <c r="B10" s="3">
        <v>2</v>
      </c>
      <c r="C10" s="3" t="s">
        <v>4</v>
      </c>
    </row>
    <row r="11" spans="1:5" ht="79.2" x14ac:dyDescent="0.25">
      <c r="A11" s="2" cm="1">
        <f t="array" ref="A11">IF(ISNUMBER(MATCH(TRUE, $C$1:C10=C11, 0)), INDEX($A$1:A10, MATCH(TRUE, $C$1:C10=C11, 0)), MAX($A$1:A10)+1)</f>
        <v>5</v>
      </c>
      <c r="B11" s="3">
        <v>3</v>
      </c>
      <c r="C11" s="3" t="s">
        <v>4</v>
      </c>
    </row>
    <row r="12" spans="1:5" ht="132" x14ac:dyDescent="0.25">
      <c r="A12" s="2" cm="1">
        <f t="array" ref="A12">IF(ISNUMBER(MATCH(TRUE, $C$1:C11=C12, 0)), INDEX($A$1:A11, MATCH(TRUE, $C$1:C11=C12, 0)), MAX($A$1:A11)+1)</f>
        <v>6</v>
      </c>
      <c r="B12" s="3">
        <v>3</v>
      </c>
      <c r="C12" s="3" t="s">
        <v>5</v>
      </c>
    </row>
    <row r="13" spans="1:5" ht="132" x14ac:dyDescent="0.25">
      <c r="A13" s="2" cm="1">
        <f t="array" ref="A13">IF(ISNUMBER(MATCH(TRUE, $C$1:C12=C13, 0)), INDEX($A$1:A12, MATCH(TRUE, $C$1:C12=C13, 0)), MAX($A$1:A12)+1)</f>
        <v>6</v>
      </c>
      <c r="B13" s="3">
        <v>4</v>
      </c>
      <c r="C13" s="3" t="s">
        <v>5</v>
      </c>
    </row>
    <row r="14" spans="1:5" ht="145.19999999999999" x14ac:dyDescent="0.25">
      <c r="A14" s="2" cm="1">
        <f t="array" ref="A14">IF(ISNUMBER(MATCH(TRUE, $C$1:C13=C14, 0)), INDEX($A$1:A13, MATCH(TRUE, $C$1:C13=C14, 0)), MAX($A$1:A13)+1)</f>
        <v>7</v>
      </c>
      <c r="B14" s="3">
        <v>2</v>
      </c>
      <c r="C14" s="3" t="s">
        <v>6</v>
      </c>
    </row>
    <row r="15" spans="1:5" ht="158.4" x14ac:dyDescent="0.25">
      <c r="A15" s="2" cm="1">
        <f t="array" ref="A15">IF(ISNUMBER(MATCH(TRUE, $C$1:C14=C15, 0)), INDEX($A$1:A14, MATCH(TRUE, $C$1:C14=C15, 0)), MAX($A$1:A14)+1)</f>
        <v>8</v>
      </c>
      <c r="B15" s="3">
        <v>2</v>
      </c>
      <c r="C15" s="3" t="s">
        <v>7</v>
      </c>
    </row>
    <row r="16" spans="1:5" ht="132" x14ac:dyDescent="0.25">
      <c r="A16" s="2" cm="1">
        <f t="array" ref="A16">IF(ISNUMBER(MATCH(TRUE, $C$1:C15=C16, 0)), INDEX($A$1:A15, MATCH(TRUE, $C$1:C15=C16, 0)), MAX($A$1:A15)+1)</f>
        <v>9</v>
      </c>
      <c r="B16" s="3">
        <v>1</v>
      </c>
      <c r="C16" s="3" t="s">
        <v>8</v>
      </c>
    </row>
    <row r="17" spans="1:3" ht="92.4" x14ac:dyDescent="0.25">
      <c r="A17" s="2" cm="1">
        <f t="array" ref="A17">IF(ISNUMBER(MATCH(TRUE, $C$1:C16=C17, 0)), INDEX($A$1:A16, MATCH(TRUE, $C$1:C16=C17, 0)), MAX($A$1:A16)+1)</f>
        <v>10</v>
      </c>
      <c r="B17" s="3" t="s">
        <v>103</v>
      </c>
      <c r="C17" s="3" t="s">
        <v>9</v>
      </c>
    </row>
    <row r="18" spans="1:3" ht="92.4" x14ac:dyDescent="0.25">
      <c r="A18" s="2" cm="1">
        <f t="array" ref="A18">IF(ISNUMBER(MATCH(TRUE, $C$1:C17=C18, 0)), INDEX($A$1:A17, MATCH(TRUE, $C$1:C17=C18, 0)), MAX($A$1:A17)+1)</f>
        <v>10</v>
      </c>
      <c r="B18" s="3" t="s">
        <v>104</v>
      </c>
      <c r="C18" s="3" t="s">
        <v>9</v>
      </c>
    </row>
    <row r="19" spans="1:3" ht="92.4" x14ac:dyDescent="0.25">
      <c r="A19" s="2" cm="1">
        <f t="array" ref="A19">IF(ISNUMBER(MATCH(TRUE, $C$1:C18=C19, 0)), INDEX($A$1:A18, MATCH(TRUE, $C$1:C18=C19, 0)), MAX($A$1:A18)+1)</f>
        <v>10</v>
      </c>
      <c r="B19" s="3" t="s">
        <v>105</v>
      </c>
      <c r="C19" s="3" t="s">
        <v>9</v>
      </c>
    </row>
    <row r="20" spans="1:3" ht="105.6" x14ac:dyDescent="0.25">
      <c r="A20" s="2" cm="1">
        <f t="array" ref="A20">IF(ISNUMBER(MATCH(TRUE, $C$1:C19=C20, 0)), INDEX($A$1:A19, MATCH(TRUE, $C$1:C19=C20, 0)), MAX($A$1:A19)+1)</f>
        <v>11</v>
      </c>
      <c r="B20" s="3">
        <v>2</v>
      </c>
      <c r="C20" s="3" t="s">
        <v>10</v>
      </c>
    </row>
    <row r="21" spans="1:3" ht="158.4" x14ac:dyDescent="0.25">
      <c r="A21" s="2" cm="1">
        <f t="array" ref="A21">IF(ISNUMBER(MATCH(TRUE, $C$1:C20=C21, 0)), INDEX($A$1:A20, MATCH(TRUE, $C$1:C20=C21, 0)), MAX($A$1:A20)+1)</f>
        <v>12</v>
      </c>
      <c r="B21" s="3">
        <v>1</v>
      </c>
      <c r="C21" s="3" t="s">
        <v>11</v>
      </c>
    </row>
    <row r="22" spans="1:3" ht="145.19999999999999" x14ac:dyDescent="0.25">
      <c r="A22" s="2" cm="1">
        <f t="array" ref="A22">IF(ISNUMBER(MATCH(TRUE, $C$1:C21=C22, 0)), INDEX($A$1:A21, MATCH(TRUE, $C$1:C21=C22, 0)), MAX($A$1:A21)+1)</f>
        <v>13</v>
      </c>
      <c r="B22" s="3">
        <v>1</v>
      </c>
      <c r="C22" s="3" t="s">
        <v>12</v>
      </c>
    </row>
    <row r="23" spans="1:3" ht="79.2" x14ac:dyDescent="0.25">
      <c r="A23" s="2" cm="1">
        <f t="array" ref="A23">IF(ISNUMBER(MATCH(TRUE, $C$1:C22=C23, 0)), INDEX($A$1:A22, MATCH(TRUE, $C$1:C22=C23, 0)), MAX($A$1:A22)+1)</f>
        <v>14</v>
      </c>
      <c r="B23" s="3" t="s">
        <v>106</v>
      </c>
      <c r="C23" s="3" t="s">
        <v>13</v>
      </c>
    </row>
    <row r="24" spans="1:3" ht="79.2" x14ac:dyDescent="0.25">
      <c r="A24" s="2" cm="1">
        <f t="array" ref="A24">IF(ISNUMBER(MATCH(TRUE, $C$1:C23=C24, 0)), INDEX($A$1:A23, MATCH(TRUE, $C$1:C23=C24, 0)), MAX($A$1:A23)+1)</f>
        <v>14</v>
      </c>
      <c r="B24" s="3" t="s">
        <v>107</v>
      </c>
      <c r="C24" s="3" t="s">
        <v>13</v>
      </c>
    </row>
    <row r="25" spans="1:3" ht="79.2" x14ac:dyDescent="0.25">
      <c r="A25" s="2" cm="1">
        <f t="array" ref="A25">IF(ISNUMBER(MATCH(TRUE, $C$1:C24=C25, 0)), INDEX($A$1:A24, MATCH(TRUE, $C$1:C24=C25, 0)), MAX($A$1:A24)+1)</f>
        <v>14</v>
      </c>
      <c r="B25" s="3" t="s">
        <v>108</v>
      </c>
      <c r="C25" s="3" t="s">
        <v>13</v>
      </c>
    </row>
    <row r="26" spans="1:3" ht="79.2" x14ac:dyDescent="0.25">
      <c r="A26" s="2" cm="1">
        <f t="array" ref="A26">IF(ISNUMBER(MATCH(TRUE, $C$1:C25=C26, 0)), INDEX($A$1:A25, MATCH(TRUE, $C$1:C25=C26, 0)), MAX($A$1:A25)+1)</f>
        <v>14</v>
      </c>
      <c r="B26" s="3" t="s">
        <v>109</v>
      </c>
      <c r="C26" s="3" t="s">
        <v>13</v>
      </c>
    </row>
    <row r="27" spans="1:3" ht="79.2" x14ac:dyDescent="0.25">
      <c r="A27" s="2" cm="1">
        <f t="array" ref="A27">IF(ISNUMBER(MATCH(TRUE, $C$1:C26=C27, 0)), INDEX($A$1:A26, MATCH(TRUE, $C$1:C26=C27, 0)), MAX($A$1:A26)+1)</f>
        <v>14</v>
      </c>
      <c r="B27" s="3" t="s">
        <v>110</v>
      </c>
      <c r="C27" s="3" t="s">
        <v>13</v>
      </c>
    </row>
    <row r="28" spans="1:3" ht="79.2" x14ac:dyDescent="0.25">
      <c r="A28" s="2" cm="1">
        <f t="array" ref="A28">IF(ISNUMBER(MATCH(TRUE, $C$1:C27=C28, 0)), INDEX($A$1:A27, MATCH(TRUE, $C$1:C27=C28, 0)), MAX($A$1:A27)+1)</f>
        <v>14</v>
      </c>
      <c r="B28" s="3" t="s">
        <v>111</v>
      </c>
      <c r="C28" s="3" t="s">
        <v>13</v>
      </c>
    </row>
    <row r="29" spans="1:3" ht="79.2" x14ac:dyDescent="0.25">
      <c r="A29" s="2" cm="1">
        <f t="array" ref="A29">IF(ISNUMBER(MATCH(TRUE, $C$1:C28=C29, 0)), INDEX($A$1:A28, MATCH(TRUE, $C$1:C28=C29, 0)), MAX($A$1:A28)+1)</f>
        <v>14</v>
      </c>
      <c r="B29" s="3" t="s">
        <v>112</v>
      </c>
      <c r="C29" s="3" t="s">
        <v>13</v>
      </c>
    </row>
    <row r="30" spans="1:3" ht="105.6" x14ac:dyDescent="0.25">
      <c r="A30" s="2" cm="1">
        <f t="array" ref="A30">IF(ISNUMBER(MATCH(TRUE, $C$1:C29=C30, 0)), INDEX($A$1:A29, MATCH(TRUE, $C$1:C29=C30, 0)), MAX($A$1:A29)+1)</f>
        <v>15</v>
      </c>
      <c r="B30" s="3" t="s">
        <v>113</v>
      </c>
      <c r="C30" s="3" t="s">
        <v>14</v>
      </c>
    </row>
    <row r="31" spans="1:3" ht="79.2" x14ac:dyDescent="0.25">
      <c r="A31" s="2" cm="1">
        <f t="array" ref="A31">IF(ISNUMBER(MATCH(TRUE, $C$1:C30=C31, 0)), INDEX($A$1:A30, MATCH(TRUE, $C$1:C30=C31, 0)), MAX($A$1:A30)+1)</f>
        <v>16</v>
      </c>
      <c r="B31" s="3" t="s">
        <v>129</v>
      </c>
      <c r="C31" s="3" t="s">
        <v>15</v>
      </c>
    </row>
    <row r="32" spans="1:3" ht="79.2" x14ac:dyDescent="0.25">
      <c r="A32" s="2" cm="1">
        <f t="array" ref="A32">IF(ISNUMBER(MATCH(TRUE, $C$1:C31=C32, 0)), INDEX($A$1:A31, MATCH(TRUE, $C$1:C31=C32, 0)), MAX($A$1:A31)+1)</f>
        <v>16</v>
      </c>
      <c r="B32" s="3" t="s">
        <v>133</v>
      </c>
      <c r="C32" s="3" t="s">
        <v>15</v>
      </c>
    </row>
    <row r="33" spans="1:3" ht="79.2" x14ac:dyDescent="0.25">
      <c r="A33" s="2" cm="1">
        <f t="array" ref="A33">IF(ISNUMBER(MATCH(TRUE, $C$1:C32=C33, 0)), INDEX($A$1:A32, MATCH(TRUE, $C$1:C32=C33, 0)), MAX($A$1:A32)+1)</f>
        <v>16</v>
      </c>
      <c r="B33" s="3" t="s">
        <v>132</v>
      </c>
      <c r="C33" s="3" t="s">
        <v>15</v>
      </c>
    </row>
    <row r="34" spans="1:3" ht="79.2" x14ac:dyDescent="0.25">
      <c r="A34" s="2" cm="1">
        <f t="array" ref="A34">IF(ISNUMBER(MATCH(TRUE, $C$1:C33=C34, 0)), INDEX($A$1:A33, MATCH(TRUE, $C$1:C33=C34, 0)), MAX($A$1:A33)+1)</f>
        <v>17</v>
      </c>
      <c r="B34" s="3" t="s">
        <v>114</v>
      </c>
      <c r="C34" s="3" t="s">
        <v>16</v>
      </c>
    </row>
    <row r="35" spans="1:3" ht="118.8" x14ac:dyDescent="0.25">
      <c r="A35" s="2" cm="1">
        <f t="array" ref="A35">IF(ISNUMBER(MATCH(TRUE, $C$1:C34=C35, 0)), INDEX($A$1:A34, MATCH(TRUE, $C$1:C34=C35, 0)), MAX($A$1:A34)+1)</f>
        <v>18</v>
      </c>
      <c r="B35" s="3" t="s">
        <v>131</v>
      </c>
      <c r="C35" s="3" t="s">
        <v>17</v>
      </c>
    </row>
    <row r="36" spans="1:3" ht="118.8" x14ac:dyDescent="0.25">
      <c r="A36" s="2" cm="1">
        <f t="array" ref="A36">IF(ISNUMBER(MATCH(TRUE, $C$1:C35=C36, 0)), INDEX($A$1:A35, MATCH(TRUE, $C$1:C35=C36, 0)), MAX($A$1:A35)+1)</f>
        <v>19</v>
      </c>
      <c r="B36" s="3" t="s">
        <v>135</v>
      </c>
      <c r="C36" s="3" t="s">
        <v>18</v>
      </c>
    </row>
    <row r="37" spans="1:3" ht="66" x14ac:dyDescent="0.25">
      <c r="A37" s="2" cm="1">
        <f t="array" ref="A37">IF(ISNUMBER(MATCH(TRUE, $C$1:C36=C37, 0)), INDEX($A$1:A36, MATCH(TRUE, $C$1:C36=C37, 0)), MAX($A$1:A36)+1)</f>
        <v>20</v>
      </c>
      <c r="B37" s="3" t="s">
        <v>115</v>
      </c>
      <c r="C37" s="3" t="s">
        <v>19</v>
      </c>
    </row>
    <row r="38" spans="1:3" ht="66" x14ac:dyDescent="0.25">
      <c r="A38" s="2" cm="1">
        <f t="array" ref="A38">IF(ISNUMBER(MATCH(TRUE, $C$1:C37=C38, 0)), INDEX($A$1:A37, MATCH(TRUE, $C$1:C37=C38, 0)), MAX($A$1:A37)+1)</f>
        <v>20</v>
      </c>
      <c r="B38" s="3" t="s">
        <v>116</v>
      </c>
      <c r="C38" s="3" t="s">
        <v>19</v>
      </c>
    </row>
    <row r="39" spans="1:3" ht="66" x14ac:dyDescent="0.25">
      <c r="A39" s="2" cm="1">
        <f t="array" ref="A39">IF(ISNUMBER(MATCH(TRUE, $C$1:C38=C39, 0)), INDEX($A$1:A38, MATCH(TRUE, $C$1:C38=C39, 0)), MAX($A$1:A38)+1)</f>
        <v>20</v>
      </c>
      <c r="B39" s="3" t="s">
        <v>117</v>
      </c>
      <c r="C39" s="3" t="s">
        <v>19</v>
      </c>
    </row>
    <row r="40" spans="1:3" ht="66" x14ac:dyDescent="0.25">
      <c r="A40" s="2" cm="1">
        <f t="array" ref="A40">IF(ISNUMBER(MATCH(TRUE, $C$1:C39=C40, 0)), INDEX($A$1:A39, MATCH(TRUE, $C$1:C39=C40, 0)), MAX($A$1:A39)+1)</f>
        <v>20</v>
      </c>
      <c r="B40" s="3" t="s">
        <v>118</v>
      </c>
      <c r="C40" s="3" t="s">
        <v>19</v>
      </c>
    </row>
    <row r="41" spans="1:3" ht="66" x14ac:dyDescent="0.25">
      <c r="A41" s="2" cm="1">
        <f t="array" ref="A41">IF(ISNUMBER(MATCH(TRUE, $C$1:C40=C41, 0)), INDEX($A$1:A40, MATCH(TRUE, $C$1:C40=C41, 0)), MAX($A$1:A40)+1)</f>
        <v>20</v>
      </c>
      <c r="B41" s="3" t="s">
        <v>106</v>
      </c>
      <c r="C41" s="3" t="s">
        <v>19</v>
      </c>
    </row>
    <row r="42" spans="1:3" ht="66" x14ac:dyDescent="0.25">
      <c r="A42" s="2" cm="1">
        <f t="array" ref="A42">IF(ISNUMBER(MATCH(TRUE, $C$1:C41=C42, 0)), INDEX($A$1:A41, MATCH(TRUE, $C$1:C41=C42, 0)), MAX($A$1:A41)+1)</f>
        <v>20</v>
      </c>
      <c r="B42" s="3" t="s">
        <v>119</v>
      </c>
      <c r="C42" s="3" t="s">
        <v>19</v>
      </c>
    </row>
    <row r="43" spans="1:3" ht="118.8" x14ac:dyDescent="0.25">
      <c r="A43" s="2" cm="1">
        <f t="array" ref="A43">IF(ISNUMBER(MATCH(TRUE, $C$1:C42=C43, 0)), INDEX($A$1:A42, MATCH(TRUE, $C$1:C42=C43, 0)), MAX($A$1:A42)+1)</f>
        <v>21</v>
      </c>
      <c r="B43" s="3" t="s">
        <v>130</v>
      </c>
      <c r="C43" s="3" t="s">
        <v>20</v>
      </c>
    </row>
    <row r="44" spans="1:3" ht="118.8" x14ac:dyDescent="0.25">
      <c r="A44" s="2" cm="1">
        <f t="array" ref="A44">IF(ISNUMBER(MATCH(TRUE, $C$1:C43=C44, 0)), INDEX($A$1:A43, MATCH(TRUE, $C$1:C43=C44, 0)), MAX($A$1:A43)+1)</f>
        <v>21</v>
      </c>
      <c r="B44" s="3" t="s">
        <v>134</v>
      </c>
      <c r="C44" s="3" t="s">
        <v>20</v>
      </c>
    </row>
    <row r="45" spans="1:3" ht="118.8" x14ac:dyDescent="0.25">
      <c r="A45" s="2" cm="1">
        <f t="array" ref="A45">IF(ISNUMBER(MATCH(TRUE, $C$1:C44=C45, 0)), INDEX($A$1:A44, MATCH(TRUE, $C$1:C44=C45, 0)), MAX($A$1:A44)+1)</f>
        <v>21</v>
      </c>
      <c r="B45" s="3" t="s">
        <v>135</v>
      </c>
      <c r="C45" s="3" t="s">
        <v>20</v>
      </c>
    </row>
    <row r="46" spans="1:3" ht="66" x14ac:dyDescent="0.25">
      <c r="A46" s="2" cm="1">
        <f t="array" ref="A46">IF(ISNUMBER(MATCH(TRUE, $C$1:C45=C46, 0)), INDEX($A$1:A45, MATCH(TRUE, $C$1:C45=C46, 0)), MAX($A$1:A45)+1)</f>
        <v>22</v>
      </c>
      <c r="B46" s="3" t="s">
        <v>120</v>
      </c>
      <c r="C46" s="3" t="s">
        <v>21</v>
      </c>
    </row>
    <row r="47" spans="1:3" ht="158.4" x14ac:dyDescent="0.25">
      <c r="A47" s="2" cm="1">
        <f t="array" ref="A47">IF(ISNUMBER(MATCH(TRUE, $C$1:C46=C47, 0)), INDEX($A$1:A46, MATCH(TRUE, $C$1:C46=C47, 0)), MAX($A$1:A46)+1)</f>
        <v>23</v>
      </c>
      <c r="B47" s="3" t="s">
        <v>131</v>
      </c>
      <c r="C47" s="3" t="s">
        <v>22</v>
      </c>
    </row>
    <row r="48" spans="1:3" ht="158.4" x14ac:dyDescent="0.25">
      <c r="A48" s="2" cm="1">
        <f t="array" ref="A48">IF(ISNUMBER(MATCH(TRUE, $C$1:C47=C48, 0)), INDEX($A$1:A47, MATCH(TRUE, $C$1:C47=C48, 0)), MAX($A$1:A47)+1)</f>
        <v>23</v>
      </c>
      <c r="B48" s="3" t="s">
        <v>135</v>
      </c>
      <c r="C48" s="3" t="s">
        <v>22</v>
      </c>
    </row>
    <row r="49" spans="1:3" ht="118.8" x14ac:dyDescent="0.25">
      <c r="A49" s="2" cm="1">
        <f t="array" ref="A49">IF(ISNUMBER(MATCH(TRUE, $C$1:C48=C49, 0)), INDEX($A$1:A48, MATCH(TRUE, $C$1:C48=C49, 0)), MAX($A$1:A48)+1)</f>
        <v>18</v>
      </c>
      <c r="B49" s="3" t="s">
        <v>139</v>
      </c>
      <c r="C49" s="3" t="s">
        <v>17</v>
      </c>
    </row>
    <row r="50" spans="1:3" ht="105.6" x14ac:dyDescent="0.25">
      <c r="A50" s="2" cm="1">
        <f t="array" ref="A50">IF(ISNUMBER(MATCH(TRUE, $C$1:C49=C50, 0)), INDEX($A$1:A49, MATCH(TRUE, $C$1:C49=C50, 0)), MAX($A$1:A49)+1)</f>
        <v>24</v>
      </c>
      <c r="B50" s="3" t="s">
        <v>132</v>
      </c>
      <c r="C50" s="3" t="s">
        <v>23</v>
      </c>
    </row>
    <row r="51" spans="1:3" ht="105.6" x14ac:dyDescent="0.25">
      <c r="A51" s="2" cm="1">
        <f t="array" ref="A51">IF(ISNUMBER(MATCH(TRUE, $C$1:C50=C51, 0)), INDEX($A$1:A50, MATCH(TRUE, $C$1:C50=C51, 0)), MAX($A$1:A50)+1)</f>
        <v>25</v>
      </c>
      <c r="B51" s="3" t="s">
        <v>115</v>
      </c>
      <c r="C51" s="3" t="s">
        <v>24</v>
      </c>
    </row>
    <row r="52" spans="1:3" ht="79.2" x14ac:dyDescent="0.25">
      <c r="A52" s="2" cm="1">
        <f t="array" ref="A52">IF(ISNUMBER(MATCH(TRUE, $C$1:C51=C52, 0)), INDEX($A$1:A51, MATCH(TRUE, $C$1:C51=C52, 0)), MAX($A$1:A51)+1)</f>
        <v>26</v>
      </c>
      <c r="B52" s="3" t="s">
        <v>115</v>
      </c>
      <c r="C52" s="3" t="s">
        <v>25</v>
      </c>
    </row>
    <row r="53" spans="1:3" ht="79.2" x14ac:dyDescent="0.25">
      <c r="A53" s="2" cm="1">
        <f t="array" ref="A53">IF(ISNUMBER(MATCH(TRUE, $C$1:C52=C53, 0)), INDEX($A$1:A52, MATCH(TRUE, $C$1:C52=C53, 0)), MAX($A$1:A52)+1)</f>
        <v>26</v>
      </c>
      <c r="B53" s="3" t="s">
        <v>103</v>
      </c>
      <c r="C53" s="3" t="s">
        <v>25</v>
      </c>
    </row>
    <row r="54" spans="1:3" ht="79.2" x14ac:dyDescent="0.25">
      <c r="A54" s="2" cm="1">
        <f t="array" ref="A54">IF(ISNUMBER(MATCH(TRUE, $C$1:C53=C54, 0)), INDEX($A$1:A53, MATCH(TRUE, $C$1:C53=C54, 0)), MAX($A$1:A53)+1)</f>
        <v>26</v>
      </c>
      <c r="B54" s="3" t="s">
        <v>121</v>
      </c>
      <c r="C54" s="3" t="s">
        <v>25</v>
      </c>
    </row>
    <row r="55" spans="1:3" ht="79.2" x14ac:dyDescent="0.25">
      <c r="A55" s="2" cm="1">
        <f t="array" ref="A55">IF(ISNUMBER(MATCH(TRUE, $C$1:C54=C55, 0)), INDEX($A$1:A54, MATCH(TRUE, $C$1:C54=C55, 0)), MAX($A$1:A54)+1)</f>
        <v>26</v>
      </c>
      <c r="B55" s="3" t="s">
        <v>122</v>
      </c>
      <c r="C55" s="3" t="s">
        <v>25</v>
      </c>
    </row>
    <row r="56" spans="1:3" ht="79.2" x14ac:dyDescent="0.25">
      <c r="A56" s="2" cm="1">
        <f t="array" ref="A56">IF(ISNUMBER(MATCH(TRUE, $C$1:C55=C56, 0)), INDEX($A$1:A55, MATCH(TRUE, $C$1:C55=C56, 0)), MAX($A$1:A55)+1)</f>
        <v>26</v>
      </c>
      <c r="B56" s="3" t="s">
        <v>99</v>
      </c>
      <c r="C56" s="3" t="s">
        <v>25</v>
      </c>
    </row>
    <row r="57" spans="1:3" ht="79.2" x14ac:dyDescent="0.25">
      <c r="A57" s="2" cm="1">
        <f t="array" ref="A57">IF(ISNUMBER(MATCH(TRUE, $C$1:C56=C57, 0)), INDEX($A$1:A56, MATCH(TRUE, $C$1:C56=C57, 0)), MAX($A$1:A56)+1)</f>
        <v>26</v>
      </c>
      <c r="B57" s="3" t="s">
        <v>123</v>
      </c>
      <c r="C57" s="3" t="s">
        <v>25</v>
      </c>
    </row>
    <row r="58" spans="1:3" ht="79.2" x14ac:dyDescent="0.25">
      <c r="A58" s="2" cm="1">
        <f t="array" ref="A58">IF(ISNUMBER(MATCH(TRUE, $C$1:C57=C58, 0)), INDEX($A$1:A57, MATCH(TRUE, $C$1:C57=C58, 0)), MAX($A$1:A57)+1)</f>
        <v>26</v>
      </c>
      <c r="B58" s="3" t="s">
        <v>124</v>
      </c>
      <c r="C58" s="3" t="s">
        <v>25</v>
      </c>
    </row>
    <row r="59" spans="1:3" ht="79.2" x14ac:dyDescent="0.25">
      <c r="A59" s="2" cm="1">
        <f t="array" ref="A59">IF(ISNUMBER(MATCH(TRUE, $C$1:C58=C59, 0)), INDEX($A$1:A58, MATCH(TRUE, $C$1:C58=C59, 0)), MAX($A$1:A58)+1)</f>
        <v>26</v>
      </c>
      <c r="B59" s="3" t="s">
        <v>125</v>
      </c>
      <c r="C59" s="3" t="s">
        <v>25</v>
      </c>
    </row>
    <row r="60" spans="1:3" ht="79.2" x14ac:dyDescent="0.25">
      <c r="A60" s="2" cm="1">
        <f t="array" ref="A60">IF(ISNUMBER(MATCH(TRUE, $C$1:C59=C60, 0)), INDEX($A$1:A59, MATCH(TRUE, $C$1:C59=C60, 0)), MAX($A$1:A59)+1)</f>
        <v>26</v>
      </c>
      <c r="B60" s="3" t="s">
        <v>126</v>
      </c>
      <c r="C60" s="3" t="s">
        <v>25</v>
      </c>
    </row>
    <row r="61" spans="1:3" ht="145.19999999999999" x14ac:dyDescent="0.25">
      <c r="A61" s="2" cm="1">
        <f t="array" ref="A61">IF(ISNUMBER(MATCH(TRUE, $C$1:C60=C61, 0)), INDEX($A$1:A60, MATCH(TRUE, $C$1:C60=C61, 0)), MAX($A$1:A60)+1)</f>
        <v>27</v>
      </c>
      <c r="B61" s="3" t="s">
        <v>133</v>
      </c>
      <c r="C61" s="3" t="s">
        <v>26</v>
      </c>
    </row>
    <row r="62" spans="1:3" ht="79.2" x14ac:dyDescent="0.25">
      <c r="A62" s="2" cm="1">
        <f t="array" ref="A62">IF(ISNUMBER(MATCH(TRUE, $C$1:C61=C62, 0)), INDEX($A$1:A61, MATCH(TRUE, $C$1:C61=C62, 0)), MAX($A$1:A61)+1)</f>
        <v>28</v>
      </c>
      <c r="B62" s="3" t="s">
        <v>127</v>
      </c>
      <c r="C62" s="3" t="s">
        <v>27</v>
      </c>
    </row>
    <row r="63" spans="1:3" ht="79.2" x14ac:dyDescent="0.25">
      <c r="A63" s="2" cm="1">
        <f t="array" ref="A63">IF(ISNUMBER(MATCH(TRUE, $C$1:C62=C63, 0)), INDEX($A$1:A62, MATCH(TRUE, $C$1:C62=C63, 0)), MAX($A$1:A62)+1)</f>
        <v>28</v>
      </c>
      <c r="B63" s="3" t="s">
        <v>128</v>
      </c>
      <c r="C63" s="3" t="s">
        <v>27</v>
      </c>
    </row>
    <row r="64" spans="1:3" ht="105.6" x14ac:dyDescent="0.25">
      <c r="A64" s="2" cm="1">
        <f t="array" ref="A64">IF(ISNUMBER(MATCH(TRUE, $C$1:C63=C64, 0)), INDEX($A$1:A63, MATCH(TRUE, $C$1:C63=C64, 0)), MAX($A$1:A63)+1)</f>
        <v>29</v>
      </c>
      <c r="B64" s="3">
        <v>2</v>
      </c>
      <c r="C64" s="3" t="s">
        <v>28</v>
      </c>
    </row>
    <row r="65" spans="1:3" ht="105.6" x14ac:dyDescent="0.25">
      <c r="A65" s="2" cm="1">
        <f t="array" ref="A65">IF(ISNUMBER(MATCH(TRUE, $C$1:C64=C65, 0)), INDEX($A$1:A64, MATCH(TRUE, $C$1:C64=C65, 0)), MAX($A$1:A64)+1)</f>
        <v>30</v>
      </c>
      <c r="B65" s="3">
        <v>2</v>
      </c>
      <c r="C65" s="3" t="s">
        <v>29</v>
      </c>
    </row>
    <row r="66" spans="1:3" ht="105.6" x14ac:dyDescent="0.25">
      <c r="A66" s="2" cm="1">
        <f t="array" ref="A66">IF(ISNUMBER(MATCH(TRUE, $C$1:C65=C66, 0)), INDEX($A$1:A65, MATCH(TRUE, $C$1:C65=C66, 0)), MAX($A$1:A65)+1)</f>
        <v>30</v>
      </c>
      <c r="B66" s="3">
        <v>3</v>
      </c>
      <c r="C66" s="3" t="s">
        <v>29</v>
      </c>
    </row>
    <row r="67" spans="1:3" ht="79.2" x14ac:dyDescent="0.25">
      <c r="A67" s="2" cm="1">
        <f t="array" ref="A67">IF(ISNUMBER(MATCH(TRUE, $C$1:C66=C67, 0)), INDEX($A$1:A66, MATCH(TRUE, $C$1:C66=C67, 0)), MAX($A$1:A66)+1)</f>
        <v>31</v>
      </c>
      <c r="B67" s="3" t="s">
        <v>130</v>
      </c>
      <c r="C67" s="3" t="s">
        <v>30</v>
      </c>
    </row>
    <row r="68" spans="1:3" ht="105.6" x14ac:dyDescent="0.25">
      <c r="A68" s="2" cm="1">
        <f t="array" ref="A68">IF(ISNUMBER(MATCH(TRUE, $C$1:C67=C68, 0)), INDEX($A$1:A67, MATCH(TRUE, $C$1:C67=C68, 0)), MAX($A$1:A67)+1)</f>
        <v>32</v>
      </c>
      <c r="B68" s="3">
        <v>3</v>
      </c>
      <c r="C68" s="3" t="s">
        <v>31</v>
      </c>
    </row>
    <row r="69" spans="1:3" ht="105.6" x14ac:dyDescent="0.25">
      <c r="A69" s="2" cm="1">
        <f t="array" ref="A69">IF(ISNUMBER(MATCH(TRUE, $C$1:C68=C69, 0)), INDEX($A$1:A68, MATCH(TRUE, $C$1:C68=C69, 0)), MAX($A$1:A68)+1)</f>
        <v>33</v>
      </c>
      <c r="B69" s="3" t="s">
        <v>130</v>
      </c>
      <c r="C69" s="3" t="s">
        <v>32</v>
      </c>
    </row>
    <row r="70" spans="1:3" ht="105.6" x14ac:dyDescent="0.25">
      <c r="A70" s="2" cm="1">
        <f t="array" ref="A70">IF(ISNUMBER(MATCH(TRUE, $C$1:C69=C70, 0)), INDEX($A$1:A69, MATCH(TRUE, $C$1:C69=C70, 0)), MAX($A$1:A69)+1)</f>
        <v>33</v>
      </c>
      <c r="B70" s="3">
        <v>9</v>
      </c>
      <c r="C70" s="3" t="s">
        <v>32</v>
      </c>
    </row>
    <row r="71" spans="1:3" ht="105.6" x14ac:dyDescent="0.25">
      <c r="A71" s="2" cm="1">
        <f t="array" ref="A71">IF(ISNUMBER(MATCH(TRUE, $C$1:C70=C71, 0)), INDEX($A$1:A70, MATCH(TRUE, $C$1:C70=C71, 0)), MAX($A$1:A70)+1)</f>
        <v>32</v>
      </c>
      <c r="B71" s="3">
        <v>10</v>
      </c>
      <c r="C71" s="3" t="s">
        <v>31</v>
      </c>
    </row>
    <row r="72" spans="1:3" ht="132" x14ac:dyDescent="0.25">
      <c r="A72" s="2" cm="1">
        <f t="array" ref="A72">IF(ISNUMBER(MATCH(TRUE, $C$1:C71=C72, 0)), INDEX($A$1:A71, MATCH(TRUE, $C$1:C71=C72, 0)), MAX($A$1:A71)+1)</f>
        <v>34</v>
      </c>
      <c r="B72" s="3" t="s">
        <v>129</v>
      </c>
      <c r="C72" s="3" t="s">
        <v>33</v>
      </c>
    </row>
    <row r="73" spans="1:3" ht="118.8" x14ac:dyDescent="0.25">
      <c r="A73" s="2" cm="1">
        <f t="array" ref="A73">IF(ISNUMBER(MATCH(TRUE, $C$1:C72=C73, 0)), INDEX($A$1:A72, MATCH(TRUE, $C$1:C72=C73, 0)), MAX($A$1:A72)+1)</f>
        <v>35</v>
      </c>
      <c r="B73" s="3">
        <v>1</v>
      </c>
      <c r="C73" s="3" t="s">
        <v>34</v>
      </c>
    </row>
    <row r="74" spans="1:3" ht="105.6" x14ac:dyDescent="0.25">
      <c r="A74" s="2" cm="1">
        <f t="array" ref="A74">IF(ISNUMBER(MATCH(TRUE, $C$1:C73=C74, 0)), INDEX($A$1:A73, MATCH(TRUE, $C$1:C73=C74, 0)), MAX($A$1:A73)+1)</f>
        <v>36</v>
      </c>
      <c r="B74" s="3" t="s">
        <v>129</v>
      </c>
      <c r="C74" s="3" t="s">
        <v>35</v>
      </c>
    </row>
    <row r="75" spans="1:3" ht="105.6" x14ac:dyDescent="0.25">
      <c r="A75" s="2" cm="1">
        <f t="array" ref="A75">IF(ISNUMBER(MATCH(TRUE, $C$1:C74=C75, 0)), INDEX($A$1:A74, MATCH(TRUE, $C$1:C74=C75, 0)), MAX($A$1:A74)+1)</f>
        <v>36</v>
      </c>
      <c r="B75" s="3" t="s">
        <v>133</v>
      </c>
      <c r="C75" s="3" t="s">
        <v>35</v>
      </c>
    </row>
    <row r="76" spans="1:3" ht="145.19999999999999" x14ac:dyDescent="0.25">
      <c r="A76" s="2" cm="1">
        <f t="array" ref="A76">IF(ISNUMBER(MATCH(TRUE, $C$1:C75=C76, 0)), INDEX($A$1:A75, MATCH(TRUE, $C$1:C75=C76, 0)), MAX($A$1:A75)+1)</f>
        <v>37</v>
      </c>
      <c r="B76" s="3">
        <v>2</v>
      </c>
      <c r="C76" s="3" t="s">
        <v>36</v>
      </c>
    </row>
    <row r="77" spans="1:3" ht="145.19999999999999" x14ac:dyDescent="0.25">
      <c r="A77" s="2" cm="1">
        <f t="array" ref="A77">IF(ISNUMBER(MATCH(TRUE, $C$1:C76=C77, 0)), INDEX($A$1:A76, MATCH(TRUE, $C$1:C76=C77, 0)), MAX($A$1:A76)+1)</f>
        <v>38</v>
      </c>
      <c r="B77" s="3">
        <v>2</v>
      </c>
      <c r="C77" s="3" t="s">
        <v>37</v>
      </c>
    </row>
    <row r="78" spans="1:3" ht="171.6" x14ac:dyDescent="0.25">
      <c r="A78" s="2" cm="1">
        <f t="array" ref="A78">IF(ISNUMBER(MATCH(TRUE, $C$1:C77=C78, 0)), INDEX($A$1:A77, MATCH(TRUE, $C$1:C77=C78, 0)), MAX($A$1:A77)+1)</f>
        <v>39</v>
      </c>
      <c r="B78" s="3" t="s">
        <v>131</v>
      </c>
      <c r="C78" s="3" t="s">
        <v>38</v>
      </c>
    </row>
    <row r="79" spans="1:3" ht="171.6" x14ac:dyDescent="0.25">
      <c r="A79" s="2" cm="1">
        <f t="array" ref="A79">IF(ISNUMBER(MATCH(TRUE, $C$1:C78=C79, 0)), INDEX($A$1:A78, MATCH(TRUE, $C$1:C78=C79, 0)), MAX($A$1:A78)+1)</f>
        <v>39</v>
      </c>
      <c r="B79" s="3" t="s">
        <v>135</v>
      </c>
      <c r="C79" s="3" t="s">
        <v>38</v>
      </c>
    </row>
    <row r="80" spans="1:3" ht="132" x14ac:dyDescent="0.25">
      <c r="A80" s="2" cm="1">
        <f t="array" ref="A80">IF(ISNUMBER(MATCH(TRUE, $C$1:C79=C80, 0)), INDEX($A$1:A79, MATCH(TRUE, $C$1:C79=C80, 0)), MAX($A$1:A79)+1)</f>
        <v>40</v>
      </c>
      <c r="B80" s="3">
        <v>1</v>
      </c>
      <c r="C80" s="3" t="s">
        <v>39</v>
      </c>
    </row>
    <row r="81" spans="1:3" ht="145.19999999999999" x14ac:dyDescent="0.25">
      <c r="A81" s="2" cm="1">
        <f t="array" ref="A81">IF(ISNUMBER(MATCH(TRUE, $C$1:C80=C81, 0)), INDEX($A$1:A80, MATCH(TRUE, $C$1:C80=C81, 0)), MAX($A$1:A80)+1)</f>
        <v>41</v>
      </c>
      <c r="B81" s="3" t="s">
        <v>129</v>
      </c>
      <c r="C81" s="3" t="s">
        <v>40</v>
      </c>
    </row>
    <row r="82" spans="1:3" ht="145.19999999999999" x14ac:dyDescent="0.25">
      <c r="A82" s="2" cm="1">
        <f t="array" ref="A82">IF(ISNUMBER(MATCH(TRUE, $C$1:C81=C82, 0)), INDEX($A$1:A81, MATCH(TRUE, $C$1:C81=C82, 0)), MAX($A$1:A81)+1)</f>
        <v>41</v>
      </c>
      <c r="B82" s="3" t="s">
        <v>133</v>
      </c>
      <c r="C82" s="3" t="s">
        <v>40</v>
      </c>
    </row>
    <row r="83" spans="1:3" ht="145.19999999999999" x14ac:dyDescent="0.25">
      <c r="A83" s="2" cm="1">
        <f t="array" ref="A83">IF(ISNUMBER(MATCH(TRUE, $C$1:C82=C83, 0)), INDEX($A$1:A82, MATCH(TRUE, $C$1:C82=C83, 0)), MAX($A$1:A82)+1)</f>
        <v>41</v>
      </c>
      <c r="B83" s="3" t="s">
        <v>132</v>
      </c>
      <c r="C83" s="3" t="s">
        <v>40</v>
      </c>
    </row>
    <row r="84" spans="1:3" ht="118.8" x14ac:dyDescent="0.25">
      <c r="A84" s="2" cm="1">
        <f t="array" ref="A84">IF(ISNUMBER(MATCH(TRUE, $C$1:C83=C84, 0)), INDEX($A$1:A83, MATCH(TRUE, $C$1:C83=C84, 0)), MAX($A$1:A83)+1)</f>
        <v>42</v>
      </c>
      <c r="B84" s="3" t="s">
        <v>131</v>
      </c>
      <c r="C84" s="3" t="s">
        <v>41</v>
      </c>
    </row>
    <row r="85" spans="1:3" ht="118.8" x14ac:dyDescent="0.25">
      <c r="A85" s="2" cm="1">
        <f t="array" ref="A85">IF(ISNUMBER(MATCH(TRUE, $C$1:C84=C85, 0)), INDEX($A$1:A84, MATCH(TRUE, $C$1:C84=C85, 0)), MAX($A$1:A84)+1)</f>
        <v>42</v>
      </c>
      <c r="B85" s="3" t="s">
        <v>129</v>
      </c>
      <c r="C85" s="3" t="s">
        <v>41</v>
      </c>
    </row>
    <row r="86" spans="1:3" ht="92.4" x14ac:dyDescent="0.25">
      <c r="A86" s="2" cm="1">
        <f t="array" ref="A86">IF(ISNUMBER(MATCH(TRUE, $C$1:C85=C86, 0)), INDEX($A$1:A85, MATCH(TRUE, $C$1:C85=C86, 0)), MAX($A$1:A85)+1)</f>
        <v>43</v>
      </c>
      <c r="B86" s="3" t="s">
        <v>136</v>
      </c>
      <c r="C86" s="3" t="s">
        <v>42</v>
      </c>
    </row>
    <row r="87" spans="1:3" ht="92.4" x14ac:dyDescent="0.25">
      <c r="A87" s="2" cm="1">
        <f t="array" ref="A87">IF(ISNUMBER(MATCH(TRUE, $C$1:C86=C87, 0)), INDEX($A$1:A86, MATCH(TRUE, $C$1:C86=C87, 0)), MAX($A$1:A86)+1)</f>
        <v>43</v>
      </c>
      <c r="B87" s="3" t="s">
        <v>137</v>
      </c>
      <c r="C87" s="3" t="s">
        <v>42</v>
      </c>
    </row>
    <row r="88" spans="1:3" ht="92.4" x14ac:dyDescent="0.25">
      <c r="A88" s="2" cm="1">
        <f t="array" ref="A88">IF(ISNUMBER(MATCH(TRUE, $C$1:C87=C88, 0)), INDEX($A$1:A87, MATCH(TRUE, $C$1:C87=C88, 0)), MAX($A$1:A87)+1)</f>
        <v>43</v>
      </c>
      <c r="B88" s="3" t="s">
        <v>115</v>
      </c>
      <c r="C88" s="3" t="s">
        <v>42</v>
      </c>
    </row>
    <row r="89" spans="1:3" ht="92.4" x14ac:dyDescent="0.25">
      <c r="A89" s="2" cm="1">
        <f t="array" ref="A89">IF(ISNUMBER(MATCH(TRUE, $C$1:C88=C89, 0)), INDEX($A$1:A88, MATCH(TRUE, $C$1:C88=C89, 0)), MAX($A$1:A88)+1)</f>
        <v>43</v>
      </c>
      <c r="B89" s="3" t="s">
        <v>138</v>
      </c>
      <c r="C89" s="3" t="s">
        <v>42</v>
      </c>
    </row>
    <row r="90" spans="1:3" ht="92.4" x14ac:dyDescent="0.25">
      <c r="A90" s="2" cm="1">
        <f t="array" ref="A90">IF(ISNUMBER(MATCH(TRUE, $C$1:C89=C90, 0)), INDEX($A$1:A89, MATCH(TRUE, $C$1:C89=C90, 0)), MAX($A$1:A89)+1)</f>
        <v>43</v>
      </c>
      <c r="B90" s="3" t="s">
        <v>116</v>
      </c>
      <c r="C90" s="3" t="s">
        <v>42</v>
      </c>
    </row>
    <row r="91" spans="1:3" ht="92.4" x14ac:dyDescent="0.25">
      <c r="A91" s="2" cm="1">
        <f t="array" ref="A91">IF(ISNUMBER(MATCH(TRUE, $C$1:C90=C91, 0)), INDEX($A$1:A90, MATCH(TRUE, $C$1:C90=C91, 0)), MAX($A$1:A90)+1)</f>
        <v>43</v>
      </c>
      <c r="B91" s="3" t="s">
        <v>117</v>
      </c>
      <c r="C91" s="3" t="s">
        <v>42</v>
      </c>
    </row>
    <row r="92" spans="1:3" ht="92.4" x14ac:dyDescent="0.25">
      <c r="A92" s="2" cm="1">
        <f t="array" ref="A92">IF(ISNUMBER(MATCH(TRUE, $C$1:C91=C92, 0)), INDEX($A$1:A91, MATCH(TRUE, $C$1:C91=C92, 0)), MAX($A$1:A91)+1)</f>
        <v>43</v>
      </c>
      <c r="B92" s="3" t="s">
        <v>127</v>
      </c>
      <c r="C92" s="3" t="s">
        <v>42</v>
      </c>
    </row>
    <row r="93" spans="1:3" ht="92.4" x14ac:dyDescent="0.25">
      <c r="A93" s="2" cm="1">
        <f t="array" ref="A93">IF(ISNUMBER(MATCH(TRUE, $C$1:C92=C93, 0)), INDEX($A$1:A92, MATCH(TRUE, $C$1:C92=C93, 0)), MAX($A$1:A92)+1)</f>
        <v>43</v>
      </c>
      <c r="B93" s="3" t="s">
        <v>103</v>
      </c>
      <c r="C93" s="3" t="s">
        <v>42</v>
      </c>
    </row>
    <row r="94" spans="1:3" ht="105.6" x14ac:dyDescent="0.25">
      <c r="A94" s="2" cm="1">
        <f t="array" ref="A94">IF(ISNUMBER(MATCH(TRUE, $C$1:C93=C94, 0)), INDEX($A$1:A93, MATCH(TRUE, $C$1:C93=C94, 0)), MAX($A$1:A93)+1)</f>
        <v>44</v>
      </c>
      <c r="B94" s="3">
        <v>1</v>
      </c>
      <c r="C94" s="3" t="s">
        <v>43</v>
      </c>
    </row>
    <row r="95" spans="1:3" ht="158.4" x14ac:dyDescent="0.25">
      <c r="A95" s="2" cm="1">
        <f t="array" ref="A95">IF(ISNUMBER(MATCH(TRUE, $C$1:C94=C95, 0)), INDEX($A$1:A94, MATCH(TRUE, $C$1:C94=C95, 0)), MAX($A$1:A94)+1)</f>
        <v>45</v>
      </c>
      <c r="B95" s="3" t="s">
        <v>131</v>
      </c>
      <c r="C95" s="3" t="s">
        <v>44</v>
      </c>
    </row>
    <row r="96" spans="1:3" ht="158.4" x14ac:dyDescent="0.25">
      <c r="A96" s="2" cm="1">
        <f t="array" ref="A96">IF(ISNUMBER(MATCH(TRUE, $C$1:C95=C96, 0)), INDEX($A$1:A95, MATCH(TRUE, $C$1:C95=C96, 0)), MAX($A$1:A95)+1)</f>
        <v>45</v>
      </c>
      <c r="B96" s="3" t="s">
        <v>129</v>
      </c>
      <c r="C96" s="3" t="s">
        <v>44</v>
      </c>
    </row>
    <row r="97" spans="1:3" ht="158.4" x14ac:dyDescent="0.25">
      <c r="A97" s="2" cm="1">
        <f t="array" ref="A97">IF(ISNUMBER(MATCH(TRUE, $C$1:C96=C97, 0)), INDEX($A$1:A96, MATCH(TRUE, $C$1:C96=C97, 0)), MAX($A$1:A96)+1)</f>
        <v>46</v>
      </c>
      <c r="B97" s="3">
        <v>1</v>
      </c>
      <c r="C97" s="3" t="s">
        <v>45</v>
      </c>
    </row>
    <row r="98" spans="1:3" ht="118.8" x14ac:dyDescent="0.25">
      <c r="A98" s="2" cm="1">
        <f t="array" ref="A98">IF(ISNUMBER(MATCH(TRUE, $C$1:C97=C98, 0)), INDEX($A$1:A97, MATCH(TRUE, $C$1:C97=C98, 0)), MAX($A$1:A97)+1)</f>
        <v>47</v>
      </c>
      <c r="B98" s="3" t="s">
        <v>131</v>
      </c>
      <c r="C98" s="3" t="s">
        <v>46</v>
      </c>
    </row>
    <row r="99" spans="1:3" ht="118.8" x14ac:dyDescent="0.25">
      <c r="A99" s="2" cm="1">
        <f t="array" ref="A99">IF(ISNUMBER(MATCH(TRUE, $C$1:C98=C99, 0)), INDEX($A$1:A98, MATCH(TRUE, $C$1:C98=C99, 0)), MAX($A$1:A98)+1)</f>
        <v>47</v>
      </c>
      <c r="B99" s="3" t="s">
        <v>129</v>
      </c>
      <c r="C99" s="3" t="s">
        <v>46</v>
      </c>
    </row>
    <row r="100" spans="1:3" ht="118.8" x14ac:dyDescent="0.25">
      <c r="A100" s="2" cm="1">
        <f t="array" ref="A100">IF(ISNUMBER(MATCH(TRUE, $C$1:C99=C100, 0)), INDEX($A$1:A99, MATCH(TRUE, $C$1:C99=C100, 0)), MAX($A$1:A99)+1)</f>
        <v>47</v>
      </c>
      <c r="B100" s="3" t="s">
        <v>133</v>
      </c>
      <c r="C100" s="3" t="s">
        <v>46</v>
      </c>
    </row>
    <row r="101" spans="1:3" ht="118.8" x14ac:dyDescent="0.25">
      <c r="A101" s="2" cm="1">
        <f t="array" ref="A101">IF(ISNUMBER(MATCH(TRUE, $C$1:C100=C101, 0)), INDEX($A$1:A100, MATCH(TRUE, $C$1:C100=C101, 0)), MAX($A$1:A100)+1)</f>
        <v>47</v>
      </c>
      <c r="B101" s="3" t="s">
        <v>130</v>
      </c>
      <c r="C101" s="3" t="s">
        <v>46</v>
      </c>
    </row>
    <row r="102" spans="1:3" ht="118.8" x14ac:dyDescent="0.25">
      <c r="A102" s="2" cm="1">
        <f t="array" ref="A102">IF(ISNUMBER(MATCH(TRUE, $C$1:C101=C102, 0)), INDEX($A$1:A101, MATCH(TRUE, $C$1:C101=C102, 0)), MAX($A$1:A101)+1)</f>
        <v>48</v>
      </c>
      <c r="B102" s="3">
        <v>1</v>
      </c>
      <c r="C102" s="3" t="s">
        <v>47</v>
      </c>
    </row>
    <row r="103" spans="1:3" ht="132" x14ac:dyDescent="0.25">
      <c r="A103" s="2" cm="1">
        <f t="array" ref="A103">IF(ISNUMBER(MATCH(TRUE, $C$1:C102=C103, 0)), INDEX($A$1:A102, MATCH(TRUE, $C$1:C102=C103, 0)), MAX($A$1:A102)+1)</f>
        <v>49</v>
      </c>
      <c r="B103" s="3">
        <v>1</v>
      </c>
      <c r="C103" s="3" t="s">
        <v>48</v>
      </c>
    </row>
    <row r="104" spans="1:3" ht="198" x14ac:dyDescent="0.25">
      <c r="A104" s="2" cm="1">
        <f t="array" ref="A104">IF(ISNUMBER(MATCH(TRUE, $C$1:C103=C104, 0)), INDEX($A$1:A103, MATCH(TRUE, $C$1:C103=C104, 0)), MAX($A$1:A103)+1)</f>
        <v>50</v>
      </c>
      <c r="B104" s="3">
        <v>1</v>
      </c>
      <c r="C104" s="3" t="s">
        <v>49</v>
      </c>
    </row>
    <row r="105" spans="1:3" ht="145.19999999999999" x14ac:dyDescent="0.25">
      <c r="A105" s="2" cm="1">
        <f t="array" ref="A105">IF(ISNUMBER(MATCH(TRUE, $C$1:C104=C105, 0)), INDEX($A$1:A104, MATCH(TRUE, $C$1:C104=C105, 0)), MAX($A$1:A104)+1)</f>
        <v>51</v>
      </c>
      <c r="B105" s="3">
        <v>1</v>
      </c>
      <c r="C105" s="3" t="s">
        <v>50</v>
      </c>
    </row>
    <row r="106" spans="1:3" ht="158.4" x14ac:dyDescent="0.25">
      <c r="A106" s="2" cm="1">
        <f t="array" ref="A106">IF(ISNUMBER(MATCH(TRUE, $C$1:C105=C106, 0)), INDEX($A$1:A105, MATCH(TRUE, $C$1:C105=C106, 0)), MAX($A$1:A105)+1)</f>
        <v>52</v>
      </c>
      <c r="B106" s="3">
        <v>8</v>
      </c>
      <c r="C106" s="3" t="s">
        <v>51</v>
      </c>
    </row>
    <row r="107" spans="1:3" ht="171.6" x14ac:dyDescent="0.25">
      <c r="A107" s="2" cm="1">
        <f t="array" ref="A107">IF(ISNUMBER(MATCH(TRUE, $C$1:C106=C107, 0)), INDEX($A$1:A106, MATCH(TRUE, $C$1:C106=C107, 0)), MAX($A$1:A106)+1)</f>
        <v>53</v>
      </c>
      <c r="B107" s="3">
        <v>2</v>
      </c>
      <c r="C107" s="3" t="s">
        <v>52</v>
      </c>
    </row>
    <row r="108" spans="1:3" ht="184.8" x14ac:dyDescent="0.25">
      <c r="A108" s="2" cm="1">
        <f t="array" ref="A108">IF(ISNUMBER(MATCH(TRUE, $C$1:C107=C108, 0)), INDEX($A$1:A107, MATCH(TRUE, $C$1:C107=C108, 0)), MAX($A$1:A107)+1)</f>
        <v>54</v>
      </c>
      <c r="B108" s="3">
        <v>5</v>
      </c>
      <c r="C108" s="3" t="s">
        <v>53</v>
      </c>
    </row>
    <row r="109" spans="1:3" ht="158.4" x14ac:dyDescent="0.25">
      <c r="A109" s="2" cm="1">
        <f t="array" ref="A109">IF(ISNUMBER(MATCH(TRUE, $C$1:C108=C109, 0)), INDEX($A$1:A108, MATCH(TRUE, $C$1:C108=C109, 0)), MAX($A$1:A108)+1)</f>
        <v>55</v>
      </c>
      <c r="B109" s="3">
        <v>1</v>
      </c>
      <c r="C109" s="3" t="s">
        <v>54</v>
      </c>
    </row>
    <row r="110" spans="1:3" ht="171.6" x14ac:dyDescent="0.25">
      <c r="A110" s="2" cm="1">
        <f t="array" ref="A110">IF(ISNUMBER(MATCH(TRUE, $C$1:C109=C110, 0)), INDEX($A$1:A109, MATCH(TRUE, $C$1:C109=C110, 0)), MAX($A$1:A109)+1)</f>
        <v>56</v>
      </c>
      <c r="B110" s="3" t="s">
        <v>131</v>
      </c>
      <c r="C110" s="3" t="s">
        <v>55</v>
      </c>
    </row>
    <row r="111" spans="1:3" ht="171.6" x14ac:dyDescent="0.25">
      <c r="A111" s="2" cm="1">
        <f t="array" ref="A111">IF(ISNUMBER(MATCH(TRUE, $C$1:C110=C111, 0)), INDEX($A$1:A110, MATCH(TRUE, $C$1:C110=C111, 0)), MAX($A$1:A110)+1)</f>
        <v>56</v>
      </c>
      <c r="B111" s="3" t="s">
        <v>135</v>
      </c>
      <c r="C111" s="3" t="s">
        <v>55</v>
      </c>
    </row>
    <row r="112" spans="1:3" ht="158.4" x14ac:dyDescent="0.25">
      <c r="A112" s="2" cm="1">
        <f t="array" ref="A112">IF(ISNUMBER(MATCH(TRUE, $C$1:C111=C112, 0)), INDEX($A$1:A111, MATCH(TRUE, $C$1:C111=C112, 0)), MAX($A$1:A111)+1)</f>
        <v>57</v>
      </c>
      <c r="B112" s="3">
        <v>2</v>
      </c>
      <c r="C112" s="3" t="s">
        <v>56</v>
      </c>
    </row>
    <row r="113" spans="1:3" ht="79.2" x14ac:dyDescent="0.25">
      <c r="A113" s="2" cm="1">
        <f t="array" ref="A113">IF(ISNUMBER(MATCH(TRUE, $C$1:C112=C113, 0)), INDEX($A$1:A112, MATCH(TRUE, $C$1:C112=C113, 0)), MAX($A$1:A112)+1)</f>
        <v>58</v>
      </c>
      <c r="B113" s="3">
        <v>2</v>
      </c>
      <c r="C113" s="3" t="s">
        <v>57</v>
      </c>
    </row>
    <row r="114" spans="1:3" ht="118.8" x14ac:dyDescent="0.25">
      <c r="A114" s="2" cm="1">
        <f t="array" ref="A114">IF(ISNUMBER(MATCH(TRUE, $C$1:C113=C114, 0)), INDEX($A$1:A113, MATCH(TRUE, $C$1:C113=C114, 0)), MAX($A$1:A113)+1)</f>
        <v>59</v>
      </c>
      <c r="B114" s="3" t="s">
        <v>132</v>
      </c>
      <c r="C114" s="3" t="s">
        <v>58</v>
      </c>
    </row>
    <row r="115" spans="1:3" ht="118.8" x14ac:dyDescent="0.25">
      <c r="A115" s="2" cm="1">
        <f t="array" ref="A115">IF(ISNUMBER(MATCH(TRUE, $C$1:C114=C115, 0)), INDEX($A$1:A114, MATCH(TRUE, $C$1:C114=C115, 0)), MAX($A$1:A114)+1)</f>
        <v>59</v>
      </c>
      <c r="B115" s="3" t="s">
        <v>139</v>
      </c>
      <c r="C115" s="3" t="s">
        <v>58</v>
      </c>
    </row>
    <row r="116" spans="1:3" ht="184.8" x14ac:dyDescent="0.25">
      <c r="A116" s="2" cm="1">
        <f t="array" ref="A116">IF(ISNUMBER(MATCH(TRUE, $C$1:C115=C116, 0)), INDEX($A$1:A115, MATCH(TRUE, $C$1:C115=C116, 0)), MAX($A$1:A115)+1)</f>
        <v>60</v>
      </c>
      <c r="B116" s="3">
        <v>2</v>
      </c>
      <c r="C116" s="3" t="s">
        <v>59</v>
      </c>
    </row>
    <row r="117" spans="1:3" ht="184.8" x14ac:dyDescent="0.25">
      <c r="A117" s="2" cm="1">
        <f t="array" ref="A117">IF(ISNUMBER(MATCH(TRUE, $C$1:C116=C117, 0)), INDEX($A$1:A116, MATCH(TRUE, $C$1:C116=C117, 0)), MAX($A$1:A116)+1)</f>
        <v>61</v>
      </c>
      <c r="B117" s="3">
        <v>2</v>
      </c>
      <c r="C117" s="3" t="s">
        <v>60</v>
      </c>
    </row>
    <row r="118" spans="1:3" ht="158.4" x14ac:dyDescent="0.25">
      <c r="A118" s="2" cm="1">
        <f t="array" ref="A118">IF(ISNUMBER(MATCH(TRUE, $C$1:C117=C118, 0)), INDEX($A$1:A117, MATCH(TRUE, $C$1:C117=C118, 0)), MAX($A$1:A117)+1)</f>
        <v>62</v>
      </c>
      <c r="B118" s="3" t="s">
        <v>131</v>
      </c>
      <c r="C118" s="3" t="s">
        <v>61</v>
      </c>
    </row>
    <row r="119" spans="1:3" ht="158.4" x14ac:dyDescent="0.25">
      <c r="A119" s="2" cm="1">
        <f t="array" ref="A119">IF(ISNUMBER(MATCH(TRUE, $C$1:C118=C119, 0)), INDEX($A$1:A118, MATCH(TRUE, $C$1:C118=C119, 0)), MAX($A$1:A118)+1)</f>
        <v>62</v>
      </c>
      <c r="B119" s="3" t="s">
        <v>134</v>
      </c>
      <c r="C119" s="3" t="s">
        <v>61</v>
      </c>
    </row>
    <row r="120" spans="1:3" ht="158.4" x14ac:dyDescent="0.25">
      <c r="A120" s="2" cm="1">
        <f t="array" ref="A120">IF(ISNUMBER(MATCH(TRUE, $C$1:C119=C120, 0)), INDEX($A$1:A119, MATCH(TRUE, $C$1:C119=C120, 0)), MAX($A$1:A119)+1)</f>
        <v>62</v>
      </c>
      <c r="B120" s="3" t="s">
        <v>135</v>
      </c>
      <c r="C120" s="3" t="s">
        <v>61</v>
      </c>
    </row>
    <row r="121" spans="1:3" ht="158.4" x14ac:dyDescent="0.25">
      <c r="A121" s="2" cm="1">
        <f t="array" ref="A121">IF(ISNUMBER(MATCH(TRUE, $C$1:C120=C121, 0)), INDEX($A$1:A120, MATCH(TRUE, $C$1:C120=C121, 0)), MAX($A$1:A120)+1)</f>
        <v>62</v>
      </c>
      <c r="B121" s="3" t="s">
        <v>139</v>
      </c>
      <c r="C121" s="3" t="s">
        <v>61</v>
      </c>
    </row>
    <row r="122" spans="1:3" ht="158.4" x14ac:dyDescent="0.25">
      <c r="A122" s="2" cm="1">
        <f t="array" ref="A122">IF(ISNUMBER(MATCH(TRUE, $C$1:C121=C122, 0)), INDEX($A$1:A121, MATCH(TRUE, $C$1:C121=C122, 0)), MAX($A$1:A121)+1)</f>
        <v>62</v>
      </c>
      <c r="B122" s="3" t="s">
        <v>140</v>
      </c>
      <c r="C122" s="3" t="s">
        <v>61</v>
      </c>
    </row>
    <row r="123" spans="1:3" ht="158.4" x14ac:dyDescent="0.25">
      <c r="A123" s="2" cm="1">
        <f t="array" ref="A123">IF(ISNUMBER(MATCH(TRUE, $C$1:C122=C123, 0)), INDEX($A$1:A122, MATCH(TRUE, $C$1:C122=C123, 0)), MAX($A$1:A122)+1)</f>
        <v>62</v>
      </c>
      <c r="B123" s="3" t="s">
        <v>141</v>
      </c>
      <c r="C123" s="3" t="s">
        <v>61</v>
      </c>
    </row>
    <row r="124" spans="1:3" ht="171.6" x14ac:dyDescent="0.25">
      <c r="A124" s="2" cm="1">
        <f t="array" ref="A124">IF(ISNUMBER(MATCH(TRUE, $C$1:C123=C124, 0)), INDEX($A$1:A123, MATCH(TRUE, $C$1:C123=C124, 0)), MAX($A$1:A123)+1)</f>
        <v>63</v>
      </c>
      <c r="B124" s="3" t="s">
        <v>131</v>
      </c>
      <c r="C124" s="3" t="s">
        <v>62</v>
      </c>
    </row>
    <row r="125" spans="1:3" ht="171.6" x14ac:dyDescent="0.25">
      <c r="A125" s="2" cm="1">
        <f t="array" ref="A125">IF(ISNUMBER(MATCH(TRUE, $C$1:C124=C125, 0)), INDEX($A$1:A124, MATCH(TRUE, $C$1:C124=C125, 0)), MAX($A$1:A124)+1)</f>
        <v>63</v>
      </c>
      <c r="B125" s="3" t="s">
        <v>129</v>
      </c>
      <c r="C125" s="3" t="s">
        <v>62</v>
      </c>
    </row>
    <row r="126" spans="1:3" ht="171.6" x14ac:dyDescent="0.25">
      <c r="A126" s="2" cm="1">
        <f t="array" ref="A126">IF(ISNUMBER(MATCH(TRUE, $C$1:C125=C126, 0)), INDEX($A$1:A125, MATCH(TRUE, $C$1:C125=C126, 0)), MAX($A$1:A125)+1)</f>
        <v>63</v>
      </c>
      <c r="B126" s="3" t="s">
        <v>133</v>
      </c>
      <c r="C126" s="3" t="s">
        <v>62</v>
      </c>
    </row>
    <row r="127" spans="1:3" ht="145.19999999999999" x14ac:dyDescent="0.25">
      <c r="A127" s="2" cm="1">
        <f t="array" ref="A127">IF(ISNUMBER(MATCH(TRUE, $C$1:C126=C127, 0)), INDEX($A$1:A126, MATCH(TRUE, $C$1:C126=C127, 0)), MAX($A$1:A126)+1)</f>
        <v>64</v>
      </c>
      <c r="B127" s="3">
        <v>1</v>
      </c>
      <c r="C127" s="3" t="s">
        <v>63</v>
      </c>
    </row>
    <row r="128" spans="1:3" ht="132" x14ac:dyDescent="0.25">
      <c r="A128" s="2" cm="1">
        <f t="array" ref="A128">IF(ISNUMBER(MATCH(TRUE, $C$1:C127=C128, 0)), INDEX($A$1:A127, MATCH(TRUE, $C$1:C127=C128, 0)), MAX($A$1:A127)+1)</f>
        <v>65</v>
      </c>
      <c r="B128" s="3">
        <v>1</v>
      </c>
      <c r="C128" s="3" t="s">
        <v>64</v>
      </c>
    </row>
    <row r="129" spans="1:3" ht="145.19999999999999" x14ac:dyDescent="0.25">
      <c r="A129" s="2" cm="1">
        <f t="array" ref="A129">IF(ISNUMBER(MATCH(TRUE, $C$1:C128=C129, 0)), INDEX($A$1:A128, MATCH(TRUE, $C$1:C128=C129, 0)), MAX($A$1:A128)+1)</f>
        <v>66</v>
      </c>
      <c r="B129" s="3" t="s">
        <v>131</v>
      </c>
      <c r="C129" s="3" t="s">
        <v>65</v>
      </c>
    </row>
    <row r="130" spans="1:3" ht="145.19999999999999" x14ac:dyDescent="0.25">
      <c r="A130" s="2" cm="1">
        <f t="array" ref="A130">IF(ISNUMBER(MATCH(TRUE, $C$1:C129=C130, 0)), INDEX($A$1:A129, MATCH(TRUE, $C$1:C129=C130, 0)), MAX($A$1:A129)+1)</f>
        <v>66</v>
      </c>
      <c r="B130" s="3" t="s">
        <v>142</v>
      </c>
      <c r="C130" s="3" t="s">
        <v>65</v>
      </c>
    </row>
    <row r="131" spans="1:3" ht="145.19999999999999" x14ac:dyDescent="0.25">
      <c r="A131" s="2" cm="1">
        <f t="array" ref="A131">IF(ISNUMBER(MATCH(TRUE, $C$1:C130=C131, 0)), INDEX($A$1:A130, MATCH(TRUE, $C$1:C130=C131, 0)), MAX($A$1:A130)+1)</f>
        <v>66</v>
      </c>
      <c r="B131" s="3" t="s">
        <v>143</v>
      </c>
      <c r="C131" s="3" t="s">
        <v>65</v>
      </c>
    </row>
    <row r="132" spans="1:3" ht="79.2" x14ac:dyDescent="0.25">
      <c r="A132" s="2" cm="1">
        <f t="array" ref="A132">IF(ISNUMBER(MATCH(TRUE, $C$1:C131=C132, 0)), INDEX($A$1:A131, MATCH(TRUE, $C$1:C131=C132, 0)), MAX($A$1:A131)+1)</f>
        <v>67</v>
      </c>
      <c r="B132" s="3" t="s">
        <v>122</v>
      </c>
      <c r="C132" s="3" t="s">
        <v>66</v>
      </c>
    </row>
    <row r="133" spans="1:3" ht="79.2" x14ac:dyDescent="0.25">
      <c r="A133" s="2" cm="1">
        <f t="array" ref="A133">IF(ISNUMBER(MATCH(TRUE, $C$1:C132=C133, 0)), INDEX($A$1:A132, MATCH(TRUE, $C$1:C132=C133, 0)), MAX($A$1:A132)+1)</f>
        <v>67</v>
      </c>
      <c r="B133" s="3" t="s">
        <v>99</v>
      </c>
      <c r="C133" s="3" t="s">
        <v>66</v>
      </c>
    </row>
    <row r="134" spans="1:3" ht="66" x14ac:dyDescent="0.25">
      <c r="A134" s="2" cm="1">
        <f t="array" ref="A134">IF(ISNUMBER(MATCH(TRUE, $C$1:C133=C134, 0)), INDEX($A$1:A133, MATCH(TRUE, $C$1:C133=C134, 0)), MAX($A$1:A133)+1)</f>
        <v>68</v>
      </c>
      <c r="B134" s="3">
        <v>1</v>
      </c>
      <c r="C134" s="3" t="s">
        <v>67</v>
      </c>
    </row>
    <row r="135" spans="1:3" ht="79.2" x14ac:dyDescent="0.25">
      <c r="A135" s="2" cm="1">
        <f t="array" ref="A135">IF(ISNUMBER(MATCH(TRUE, $C$1:C134=C135, 0)), INDEX($A$1:A134, MATCH(TRUE, $C$1:C134=C135, 0)), MAX($A$1:A134)+1)</f>
        <v>69</v>
      </c>
      <c r="B135" s="3">
        <v>2</v>
      </c>
      <c r="C135" s="3" t="s">
        <v>68</v>
      </c>
    </row>
    <row r="136" spans="1:3" ht="79.2" x14ac:dyDescent="0.25">
      <c r="A136" s="2" cm="1">
        <f t="array" ref="A136">IF(ISNUMBER(MATCH(TRUE, $C$1:C135=C136, 0)), INDEX($A$1:A135, MATCH(TRUE, $C$1:C135=C136, 0)), MAX($A$1:A135)+1)</f>
        <v>70</v>
      </c>
      <c r="B136" s="3">
        <v>1</v>
      </c>
      <c r="C136" s="3" t="s">
        <v>69</v>
      </c>
    </row>
    <row r="137" spans="1:3" ht="118.8" x14ac:dyDescent="0.25">
      <c r="A137" s="2" cm="1">
        <f t="array" ref="A137">IF(ISNUMBER(MATCH(TRUE, $C$1:C136=C137, 0)), INDEX($A$1:A136, MATCH(TRUE, $C$1:C136=C137, 0)), MAX($A$1:A136)+1)</f>
        <v>71</v>
      </c>
      <c r="B137" s="3" t="s">
        <v>131</v>
      </c>
      <c r="C137" s="3" t="s">
        <v>70</v>
      </c>
    </row>
    <row r="138" spans="1:3" ht="118.8" x14ac:dyDescent="0.25">
      <c r="A138" s="2" cm="1">
        <f t="array" ref="A138">IF(ISNUMBER(MATCH(TRUE, $C$1:C137=C138, 0)), INDEX($A$1:A137, MATCH(TRUE, $C$1:C137=C138, 0)), MAX($A$1:A137)+1)</f>
        <v>71</v>
      </c>
      <c r="B138" s="3" t="s">
        <v>133</v>
      </c>
      <c r="C138" s="3" t="s">
        <v>70</v>
      </c>
    </row>
    <row r="139" spans="1:3" ht="118.8" x14ac:dyDescent="0.25">
      <c r="A139" s="2" cm="1">
        <f t="array" ref="A139">IF(ISNUMBER(MATCH(TRUE, $C$1:C138=C139, 0)), INDEX($A$1:A138, MATCH(TRUE, $C$1:C138=C139, 0)), MAX($A$1:A138)+1)</f>
        <v>71</v>
      </c>
      <c r="B139" s="3" t="s">
        <v>132</v>
      </c>
      <c r="C139" s="3" t="s">
        <v>70</v>
      </c>
    </row>
    <row r="140" spans="1:3" ht="158.4" x14ac:dyDescent="0.25">
      <c r="A140" s="2" cm="1">
        <f t="array" ref="A140">IF(ISNUMBER(MATCH(TRUE, $C$1:C139=C140, 0)), INDEX($A$1:A139, MATCH(TRUE, $C$1:C139=C140, 0)), MAX($A$1:A139)+1)</f>
        <v>72</v>
      </c>
      <c r="B140" s="3">
        <v>1.2</v>
      </c>
      <c r="C140" s="3" t="s">
        <v>71</v>
      </c>
    </row>
    <row r="141" spans="1:3" ht="145.19999999999999" x14ac:dyDescent="0.25">
      <c r="A141" s="2" cm="1">
        <f t="array" ref="A141">IF(ISNUMBER(MATCH(TRUE, $C$1:C140=C141, 0)), INDEX($A$1:A140, MATCH(TRUE, $C$1:C140=C141, 0)), MAX($A$1:A140)+1)</f>
        <v>73</v>
      </c>
      <c r="B141" s="3">
        <v>1</v>
      </c>
      <c r="C141" s="3" t="s">
        <v>72</v>
      </c>
    </row>
    <row r="142" spans="1:3" ht="118.8" x14ac:dyDescent="0.25">
      <c r="A142" s="2" cm="1">
        <f t="array" ref="A142">IF(ISNUMBER(MATCH(TRUE, $C$1:C141=C142, 0)), INDEX($A$1:A141, MATCH(TRUE, $C$1:C141=C142, 0)), MAX($A$1:A141)+1)</f>
        <v>74</v>
      </c>
      <c r="B142" s="3">
        <v>3</v>
      </c>
      <c r="C142" s="3" t="s">
        <v>73</v>
      </c>
    </row>
    <row r="143" spans="1:3" ht="145.19999999999999" x14ac:dyDescent="0.25">
      <c r="A143" s="2" cm="1">
        <f t="array" ref="A143">IF(ISNUMBER(MATCH(TRUE, $C$1:C142=C143, 0)), INDEX($A$1:A142, MATCH(TRUE, $C$1:C142=C143, 0)), MAX($A$1:A142)+1)</f>
        <v>75</v>
      </c>
      <c r="B143" s="3">
        <v>4</v>
      </c>
      <c r="C143" s="3" t="s">
        <v>74</v>
      </c>
    </row>
    <row r="144" spans="1:3" ht="132" x14ac:dyDescent="0.25">
      <c r="A144" s="2" cm="1">
        <f t="array" ref="A144">IF(ISNUMBER(MATCH(TRUE, $C$1:C143=C144, 0)), INDEX($A$1:A143, MATCH(TRUE, $C$1:C143=C144, 0)), MAX($A$1:A143)+1)</f>
        <v>76</v>
      </c>
      <c r="B144" s="3">
        <v>3</v>
      </c>
      <c r="C144" s="3" t="s">
        <v>75</v>
      </c>
    </row>
    <row r="145" spans="1:3" ht="171.6" x14ac:dyDescent="0.25">
      <c r="A145" s="2" cm="1">
        <f t="array" ref="A145">IF(ISNUMBER(MATCH(TRUE, $C$1:C144=C145, 0)), INDEX($A$1:A144, MATCH(TRUE, $C$1:C144=C145, 0)), MAX($A$1:A144)+1)</f>
        <v>77</v>
      </c>
      <c r="B145" s="3">
        <v>1</v>
      </c>
      <c r="C145" s="3" t="s">
        <v>76</v>
      </c>
    </row>
    <row r="146" spans="1:3" ht="132" x14ac:dyDescent="0.25">
      <c r="A146" s="2" cm="1">
        <f t="array" ref="A146">IF(ISNUMBER(MATCH(TRUE, $C$1:C145=C146, 0)), INDEX($A$1:A145, MATCH(TRUE, $C$1:C145=C146, 0)), MAX($A$1:A145)+1)</f>
        <v>78</v>
      </c>
      <c r="B146" s="3">
        <v>1</v>
      </c>
      <c r="C146" s="3" t="s">
        <v>77</v>
      </c>
    </row>
    <row r="147" spans="1:3" ht="171.6" x14ac:dyDescent="0.25">
      <c r="A147" s="2" cm="1">
        <f t="array" ref="A147">IF(ISNUMBER(MATCH(TRUE, $C$1:C146=C147, 0)), INDEX($A$1:A146, MATCH(TRUE, $C$1:C146=C147, 0)), MAX($A$1:A146)+1)</f>
        <v>79</v>
      </c>
      <c r="B147" s="3">
        <v>1</v>
      </c>
      <c r="C147" s="3" t="s">
        <v>78</v>
      </c>
    </row>
    <row r="148" spans="1:3" ht="171.6" x14ac:dyDescent="0.25">
      <c r="A148" s="2" cm="1">
        <f t="array" ref="A148">IF(ISNUMBER(MATCH(TRUE, $C$1:C147=C148, 0)), INDEX($A$1:A147, MATCH(TRUE, $C$1:C147=C148, 0)), MAX($A$1:A147)+1)</f>
        <v>80</v>
      </c>
      <c r="B148" s="3">
        <v>1</v>
      </c>
      <c r="C148" s="3" t="s">
        <v>79</v>
      </c>
    </row>
    <row r="149" spans="1:3" ht="118.8" x14ac:dyDescent="0.25">
      <c r="A149" s="2" cm="1">
        <f t="array" ref="A149">IF(ISNUMBER(MATCH(TRUE, $C$1:C148=C149, 0)), INDEX($A$1:A148, MATCH(TRUE, $C$1:C148=C149, 0)), MAX($A$1:A148)+1)</f>
        <v>81</v>
      </c>
      <c r="B149" s="3">
        <v>1</v>
      </c>
      <c r="C149" s="3" t="s">
        <v>80</v>
      </c>
    </row>
    <row r="150" spans="1:3" ht="92.4" x14ac:dyDescent="0.25">
      <c r="A150" s="2" cm="1">
        <f t="array" ref="A150">IF(ISNUMBER(MATCH(TRUE, $C$1:C149=C150, 0)), INDEX($A$1:A149, MATCH(TRUE, $C$1:C149=C150, 0)), MAX($A$1:A149)+1)</f>
        <v>82</v>
      </c>
      <c r="B150" s="3" t="s">
        <v>129</v>
      </c>
      <c r="C150" s="3" t="s">
        <v>81</v>
      </c>
    </row>
    <row r="151" spans="1:3" ht="92.4" x14ac:dyDescent="0.25">
      <c r="A151" s="2" cm="1">
        <f t="array" ref="A151">IF(ISNUMBER(MATCH(TRUE, $C$1:C150=C151, 0)), INDEX($A$1:A150, MATCH(TRUE, $C$1:C150=C151, 0)), MAX($A$1:A150)+1)</f>
        <v>82</v>
      </c>
      <c r="B151" s="3" t="s">
        <v>133</v>
      </c>
      <c r="C151" s="3" t="s">
        <v>81</v>
      </c>
    </row>
    <row r="152" spans="1:3" ht="92.4" x14ac:dyDescent="0.25">
      <c r="A152" s="2" cm="1">
        <f t="array" ref="A152">IF(ISNUMBER(MATCH(TRUE, $C$1:C151=C152, 0)), INDEX($A$1:A151, MATCH(TRUE, $C$1:C151=C152, 0)), MAX($A$1:A151)+1)</f>
        <v>82</v>
      </c>
      <c r="B152" s="3" t="s">
        <v>132</v>
      </c>
      <c r="C152" s="3" t="s">
        <v>81</v>
      </c>
    </row>
    <row r="153" spans="1:3" ht="92.4" x14ac:dyDescent="0.25">
      <c r="A153" s="2" cm="1">
        <f t="array" ref="A153">IF(ISNUMBER(MATCH(TRUE, $C$1:C152=C153, 0)), INDEX($A$1:A152, MATCH(TRUE, $C$1:C152=C153, 0)), MAX($A$1:A152)+1)</f>
        <v>82</v>
      </c>
      <c r="B153" s="3">
        <v>1</v>
      </c>
      <c r="C153" s="3" t="s">
        <v>81</v>
      </c>
    </row>
    <row r="154" spans="1:3" ht="184.8" x14ac:dyDescent="0.25">
      <c r="A154" s="2" cm="1">
        <f t="array" ref="A154">IF(ISNUMBER(MATCH(TRUE, $C$1:C153=C154, 0)), INDEX($A$1:A153, MATCH(TRUE, $C$1:C153=C154, 0)), MAX($A$1:A153)+1)</f>
        <v>83</v>
      </c>
      <c r="B154" s="3">
        <v>3</v>
      </c>
      <c r="C154" s="3" t="s">
        <v>82</v>
      </c>
    </row>
    <row r="155" spans="1:3" ht="145.19999999999999" x14ac:dyDescent="0.25">
      <c r="A155" s="2" cm="1">
        <f t="array" ref="A155">IF(ISNUMBER(MATCH(TRUE, $C$1:C154=C155, 0)), INDEX($A$1:A154, MATCH(TRUE, $C$1:C154=C155, 0)), MAX($A$1:A154)+1)</f>
        <v>84</v>
      </c>
      <c r="B155" s="3">
        <v>1</v>
      </c>
      <c r="C155" s="3" t="s">
        <v>83</v>
      </c>
    </row>
    <row r="156" spans="1:3" ht="158.4" x14ac:dyDescent="0.25">
      <c r="A156" s="2" cm="1">
        <f t="array" ref="A156">IF(ISNUMBER(MATCH(TRUE, $C$1:C155=C156, 0)), INDEX($A$1:A155, MATCH(TRUE, $C$1:C155=C156, 0)), MAX($A$1:A155)+1)</f>
        <v>85</v>
      </c>
      <c r="B156" s="3">
        <v>1</v>
      </c>
      <c r="C156" s="3" t="s">
        <v>84</v>
      </c>
    </row>
    <row r="157" spans="1:3" ht="118.8" x14ac:dyDescent="0.25">
      <c r="A157" s="2" cm="1">
        <f t="array" ref="A157">IF(ISNUMBER(MATCH(TRUE, $C$1:C156=C157, 0)), INDEX($A$1:A156, MATCH(TRUE, $C$1:C156=C157, 0)), MAX($A$1:A156)+1)</f>
        <v>86</v>
      </c>
      <c r="B157" s="3">
        <v>1.3</v>
      </c>
      <c r="C157" s="3" t="s">
        <v>85</v>
      </c>
    </row>
    <row r="158" spans="1:3" ht="145.19999999999999" x14ac:dyDescent="0.25">
      <c r="A158" s="2" cm="1">
        <f t="array" ref="A158">IF(ISNUMBER(MATCH(TRUE, $C$1:C157=C158, 0)), INDEX($A$1:A157, MATCH(TRUE, $C$1:C157=C158, 0)), MAX($A$1:A157)+1)</f>
        <v>87</v>
      </c>
      <c r="B158" s="3">
        <v>6</v>
      </c>
      <c r="C158" s="3" t="s">
        <v>86</v>
      </c>
    </row>
    <row r="159" spans="1:3" ht="145.19999999999999" x14ac:dyDescent="0.25">
      <c r="A159" s="2" cm="1">
        <f t="array" ref="A159">IF(ISNUMBER(MATCH(TRUE, $C$1:C158=C159, 0)), INDEX($A$1:A158, MATCH(TRUE, $C$1:C158=C159, 0)), MAX($A$1:A158)+1)</f>
        <v>88</v>
      </c>
      <c r="B159" s="3">
        <v>1</v>
      </c>
      <c r="C159" s="3" t="s">
        <v>87</v>
      </c>
    </row>
    <row r="160" spans="1:3" ht="132" x14ac:dyDescent="0.25">
      <c r="A160" s="2" cm="1">
        <f t="array" ref="A160">IF(ISNUMBER(MATCH(TRUE, $C$1:C159=C160, 0)), INDEX($A$1:A159, MATCH(TRUE, $C$1:C159=C160, 0)), MAX($A$1:A159)+1)</f>
        <v>89</v>
      </c>
      <c r="B160" s="3">
        <v>2</v>
      </c>
      <c r="C160" s="3" t="s">
        <v>88</v>
      </c>
    </row>
    <row r="161" spans="1:3" ht="158.4" x14ac:dyDescent="0.25">
      <c r="A161" s="2" cm="1">
        <f t="array" ref="A161">IF(ISNUMBER(MATCH(TRUE, $C$1:C160=C161, 0)), INDEX($A$1:A160, MATCH(TRUE, $C$1:C160=C161, 0)), MAX($A$1:A160)+1)</f>
        <v>90</v>
      </c>
      <c r="B161" s="3">
        <v>1</v>
      </c>
      <c r="C161" s="3" t="s">
        <v>89</v>
      </c>
    </row>
    <row r="162" spans="1:3" ht="158.4" x14ac:dyDescent="0.25">
      <c r="A162" s="2" cm="1">
        <f t="array" ref="A162">IF(ISNUMBER(MATCH(TRUE, $C$1:C161=C162, 0)), INDEX($A$1:A161, MATCH(TRUE, $C$1:C161=C162, 0)), MAX($A$1:A161)+1)</f>
        <v>91</v>
      </c>
      <c r="B162" s="3">
        <v>4</v>
      </c>
      <c r="C162" s="3" t="s">
        <v>90</v>
      </c>
    </row>
    <row r="163" spans="1:3" ht="184.8" x14ac:dyDescent="0.25">
      <c r="A163" s="2" cm="1">
        <f t="array" ref="A163">IF(ISNUMBER(MATCH(TRUE, $C$1:C162=C163, 0)), INDEX($A$1:A162, MATCH(TRUE, $C$1:C162=C163, 0)), MAX($A$1:A162)+1)</f>
        <v>92</v>
      </c>
      <c r="B163" s="3" t="s">
        <v>131</v>
      </c>
      <c r="C163" s="3" t="s">
        <v>91</v>
      </c>
    </row>
    <row r="164" spans="1:3" ht="184.8" x14ac:dyDescent="0.25">
      <c r="A164" s="2" cm="1">
        <f t="array" ref="A164">IF(ISNUMBER(MATCH(TRUE, $C$1:C163=C164, 0)), INDEX($A$1:A163, MATCH(TRUE, $C$1:C163=C164, 0)), MAX($A$1:A163)+1)</f>
        <v>92</v>
      </c>
      <c r="B164" s="3" t="s">
        <v>133</v>
      </c>
      <c r="C164" s="3" t="s">
        <v>91</v>
      </c>
    </row>
    <row r="165" spans="1:3" ht="118.8" x14ac:dyDescent="0.25">
      <c r="A165" s="2" cm="1">
        <f t="array" ref="A165">IF(ISNUMBER(MATCH(TRUE, $C$1:C164=C165, 0)), INDEX($A$1:A164, MATCH(TRUE, $C$1:C164=C165, 0)), MAX($A$1:A164)+1)</f>
        <v>93</v>
      </c>
      <c r="B165" s="3">
        <v>1</v>
      </c>
      <c r="C165" s="3" t="s">
        <v>92</v>
      </c>
    </row>
    <row r="166" spans="1:3" ht="52.8" x14ac:dyDescent="0.25">
      <c r="A166" s="2" cm="1">
        <f t="array" ref="A166">IF(ISNUMBER(MATCH(TRUE, $C$1:C165=C166, 0)), INDEX($A$1:A165, MATCH(TRUE, $C$1:C165=C166, 0)), MAX($A$1:A165)+1)</f>
        <v>94</v>
      </c>
      <c r="B166" s="3">
        <v>1</v>
      </c>
      <c r="C166" s="3" t="s">
        <v>93</v>
      </c>
    </row>
    <row r="167" spans="1:3" ht="52.8" x14ac:dyDescent="0.25">
      <c r="A167" s="2" cm="1">
        <f t="array" ref="A167">IF(ISNUMBER(MATCH(TRUE, $C$1:C166=C167, 0)), INDEX($A$1:A166, MATCH(TRUE, $C$1:C166=C167, 0)), MAX($A$1:A166)+1)</f>
        <v>95</v>
      </c>
      <c r="B167" s="3">
        <v>1</v>
      </c>
      <c r="C167" s="3" t="s">
        <v>94</v>
      </c>
    </row>
    <row r="168" spans="1:3" ht="66" x14ac:dyDescent="0.25">
      <c r="A168" s="2" cm="1">
        <f t="array" ref="A168">IF(ISNUMBER(MATCH(TRUE, $C$1:C167=C168, 0)), INDEX($A$1:A167, MATCH(TRUE, $C$1:C167=C168, 0)), MAX($A$1:A167)+1)</f>
        <v>96</v>
      </c>
      <c r="B168" s="3">
        <v>6</v>
      </c>
      <c r="C168" s="3" t="s">
        <v>95</v>
      </c>
    </row>
    <row r="169" spans="1:3" ht="66" x14ac:dyDescent="0.25">
      <c r="A169" s="2" cm="1">
        <f t="array" ref="A169">IF(ISNUMBER(MATCH(TRUE, $C$1:C168=C169, 0)), INDEX($A$1:A168, MATCH(TRUE, $C$1:C168=C169, 0)), MAX($A$1:A168)+1)</f>
        <v>97</v>
      </c>
      <c r="B169" s="3">
        <v>2</v>
      </c>
      <c r="C169" s="3" t="s">
        <v>96</v>
      </c>
    </row>
    <row r="170" spans="1:3" ht="79.2" x14ac:dyDescent="0.25">
      <c r="A170" s="2" cm="1">
        <f t="array" ref="A170">IF(ISNUMBER(MATCH(TRUE, $C$1:C169=C170, 0)), INDEX($A$1:A169, MATCH(TRUE, $C$1:C169=C170, 0)), MAX($A$1:A169)+1)</f>
        <v>98</v>
      </c>
      <c r="B170" s="3">
        <v>4</v>
      </c>
      <c r="C170" s="3" t="s">
        <v>97</v>
      </c>
    </row>
    <row r="171" spans="1:3" ht="66" x14ac:dyDescent="0.25">
      <c r="A171" s="2" cm="1">
        <f t="array" ref="A171">IF(ISNUMBER(MATCH(TRUE, $C$1:C170=C171, 0)), INDEX($A$1:A170, MATCH(TRUE, $C$1:C170=C171, 0)), MAX($A$1:A170)+1)</f>
        <v>99</v>
      </c>
      <c r="B171" s="3">
        <v>3</v>
      </c>
      <c r="C171" s="1" t="s">
        <v>144</v>
      </c>
    </row>
    <row r="172" spans="1:3" ht="66" x14ac:dyDescent="0.25">
      <c r="A172" s="2" cm="1">
        <f t="array" ref="A172">IF(ISNUMBER(MATCH(TRUE, $C$1:C171=C172, 0)), INDEX($A$1:A171, MATCH(TRUE, $C$1:C171=C172, 0)), MAX($A$1:A171)+1)</f>
        <v>100</v>
      </c>
      <c r="B172" s="3">
        <v>1</v>
      </c>
      <c r="C172" s="1" t="s">
        <v>145</v>
      </c>
    </row>
    <row r="173" spans="1:3" ht="66" x14ac:dyDescent="0.25">
      <c r="A173" s="2" cm="1">
        <f t="array" ref="A173">IF(ISNUMBER(MATCH(TRUE, $C$1:C172=C173, 0)), INDEX($A$1:A172, MATCH(TRUE, $C$1:C172=C173, 0)), MAX($A$1:A172)+1)</f>
        <v>101</v>
      </c>
      <c r="B173" s="3">
        <v>3</v>
      </c>
      <c r="C173" s="1" t="s">
        <v>146</v>
      </c>
    </row>
    <row r="174" spans="1:3" ht="39.6" x14ac:dyDescent="0.25">
      <c r="A174" s="2" cm="1">
        <f t="array" ref="A174">IF(ISNUMBER(MATCH(TRUE, $C$1:C173=C174, 0)), INDEX($A$1:A173, MATCH(TRUE, $C$1:C173=C174, 0)), MAX($A$1:A173)+1)</f>
        <v>102</v>
      </c>
      <c r="B174" s="3">
        <v>1</v>
      </c>
      <c r="C174" s="1" t="s">
        <v>147</v>
      </c>
    </row>
    <row r="175" spans="1:3" ht="79.2" x14ac:dyDescent="0.25">
      <c r="A175" s="2" cm="1">
        <f t="array" ref="A175">IF(ISNUMBER(MATCH(TRUE, $C$1:C174=C175, 0)), INDEX($A$1:A174, MATCH(TRUE, $C$1:C174=C175, 0)), MAX($A$1:A174)+1)</f>
        <v>103</v>
      </c>
      <c r="B175" s="3">
        <v>2</v>
      </c>
      <c r="C175" s="1" t="s">
        <v>148</v>
      </c>
    </row>
    <row r="176" spans="1:3" ht="52.8" x14ac:dyDescent="0.25">
      <c r="A176" s="2" cm="1">
        <f t="array" ref="A176">IF(ISNUMBER(MATCH(TRUE, $C$1:C175=C176, 0)), INDEX($A$1:A175, MATCH(TRUE, $C$1:C175=C176, 0)), MAX($A$1:A175)+1)</f>
        <v>104</v>
      </c>
      <c r="B176" s="3">
        <v>4</v>
      </c>
      <c r="C176" s="1" t="s">
        <v>149</v>
      </c>
    </row>
    <row r="177" spans="1:3" ht="39.6" x14ac:dyDescent="0.25">
      <c r="A177" s="2" cm="1">
        <f t="array" ref="A177">IF(ISNUMBER(MATCH(TRUE, $C$1:C176=C177, 0)), INDEX($A$1:A176, MATCH(TRUE, $C$1:C176=C177, 0)), MAX($A$1:A176)+1)</f>
        <v>105</v>
      </c>
      <c r="B177" s="3">
        <v>1</v>
      </c>
      <c r="C177" s="1" t="s">
        <v>150</v>
      </c>
    </row>
    <row r="178" spans="1:3" ht="39.6" x14ac:dyDescent="0.25">
      <c r="A178" s="2" cm="1">
        <f t="array" ref="A178">IF(ISNUMBER(MATCH(TRUE, $C$1:C177=C178, 0)), INDEX($A$1:A177, MATCH(TRUE, $C$1:C177=C178, 0)), MAX($A$1:A177)+1)</f>
        <v>105</v>
      </c>
      <c r="B178" s="3">
        <v>2</v>
      </c>
      <c r="C178" s="1" t="s">
        <v>150</v>
      </c>
    </row>
    <row r="179" spans="1:3" ht="39.6" x14ac:dyDescent="0.25">
      <c r="A179" s="2" cm="1">
        <f t="array" ref="A179">IF(ISNUMBER(MATCH(TRUE, $C$1:C178=C179, 0)), INDEX($A$1:A178, MATCH(TRUE, $C$1:C178=C179, 0)), MAX($A$1:A178)+1)</f>
        <v>105</v>
      </c>
      <c r="B179" s="3">
        <v>3</v>
      </c>
      <c r="C179" s="1" t="s">
        <v>150</v>
      </c>
    </row>
    <row r="180" spans="1:3" ht="39.6" x14ac:dyDescent="0.25">
      <c r="A180" s="2" cm="1">
        <f t="array" ref="A180">IF(ISNUMBER(MATCH(TRUE, $C$1:C179=C180, 0)), INDEX($A$1:A179, MATCH(TRUE, $C$1:C179=C180, 0)), MAX($A$1:A179)+1)</f>
        <v>105</v>
      </c>
      <c r="B180" s="3">
        <v>4</v>
      </c>
      <c r="C180" s="1" t="s">
        <v>150</v>
      </c>
    </row>
    <row r="181" spans="1:3" ht="52.8" x14ac:dyDescent="0.25">
      <c r="A181" s="2" cm="1">
        <f t="array" ref="A181">IF(ISNUMBER(MATCH(TRUE, $C$1:C180=C181, 0)), INDEX($A$1:A180, MATCH(TRUE, $C$1:C180=C181, 0)), MAX($A$1:A180)+1)</f>
        <v>106</v>
      </c>
      <c r="B181" s="3">
        <v>2</v>
      </c>
      <c r="C181" s="1" t="s">
        <v>151</v>
      </c>
    </row>
    <row r="182" spans="1:3" x14ac:dyDescent="0.25">
      <c r="A182" s="2" cm="1">
        <f t="array" ref="A182">IF(ISNUMBER(MATCH(TRUE, $C$1:C181=C182, 0)), INDEX($A$1:A181, MATCH(TRUE, $C$1:C181=C182, 0)), MAX($A$1:A181)+1)</f>
        <v>107</v>
      </c>
      <c r="B182" s="3">
        <v>1</v>
      </c>
    </row>
    <row r="183" spans="1:3" ht="52.8" x14ac:dyDescent="0.25">
      <c r="A183" s="2" cm="1">
        <f t="array" ref="A183">IF(ISNUMBER(MATCH(TRUE, $C$1:C182=C183, 0)), INDEX($A$1:A182, MATCH(TRUE, $C$1:C182=C183, 0)), MAX($A$1:A182)+1)</f>
        <v>108</v>
      </c>
      <c r="B183" s="3">
        <v>2</v>
      </c>
      <c r="C183" s="1" t="s">
        <v>152</v>
      </c>
    </row>
    <row r="184" spans="1:3" ht="52.8" x14ac:dyDescent="0.25">
      <c r="A184" s="2" cm="1">
        <f t="array" ref="A184">IF(ISNUMBER(MATCH(TRUE, $C$1:C183=C184, 0)), INDEX($A$1:A183, MATCH(TRUE, $C$1:C183=C184, 0)), MAX($A$1:A183)+1)</f>
        <v>109</v>
      </c>
      <c r="B184" s="3">
        <v>1</v>
      </c>
      <c r="C184" s="1" t="s">
        <v>153</v>
      </c>
    </row>
    <row r="185" spans="1:3" ht="52.8" x14ac:dyDescent="0.25">
      <c r="A185" s="2" cm="1">
        <f t="array" ref="A185">IF(ISNUMBER(MATCH(TRUE, $C$1:C184=C185, 0)), INDEX($A$1:A184, MATCH(TRUE, $C$1:C184=C185, 0)), MAX($A$1:A184)+1)</f>
        <v>110</v>
      </c>
      <c r="B185" s="3">
        <v>1</v>
      </c>
      <c r="C185" s="1" t="s">
        <v>154</v>
      </c>
    </row>
    <row r="186" spans="1:3" ht="39.6" x14ac:dyDescent="0.25">
      <c r="A186" s="2" cm="1">
        <f t="array" ref="A186">IF(ISNUMBER(MATCH(TRUE, $C$1:C185=C186, 0)), INDEX($A$1:A185, MATCH(TRUE, $C$1:C185=C186, 0)), MAX($A$1:A185)+1)</f>
        <v>111</v>
      </c>
      <c r="B186" s="3">
        <v>1</v>
      </c>
      <c r="C186" s="1" t="s">
        <v>155</v>
      </c>
    </row>
    <row r="187" spans="1:3" ht="39.6" x14ac:dyDescent="0.25">
      <c r="A187" s="2" cm="1">
        <f t="array" ref="A187">IF(ISNUMBER(MATCH(TRUE, $C$1:C186=C187, 0)), INDEX($A$1:A186, MATCH(TRUE, $C$1:C186=C187, 0)), MAX($A$1:A186)+1)</f>
        <v>111</v>
      </c>
      <c r="B187" s="3">
        <v>2</v>
      </c>
      <c r="C187" s="1" t="s">
        <v>155</v>
      </c>
    </row>
    <row r="188" spans="1:3" ht="52.8" x14ac:dyDescent="0.25">
      <c r="A188" s="2" cm="1">
        <f t="array" ref="A188">IF(ISNUMBER(MATCH(TRUE, $C$1:C187=C188, 0)), INDEX($A$1:A187, MATCH(TRUE, $C$1:C187=C188, 0)), MAX($A$1:A187)+1)</f>
        <v>112</v>
      </c>
      <c r="B188" s="3">
        <v>1</v>
      </c>
      <c r="C188" s="1" t="s">
        <v>156</v>
      </c>
    </row>
    <row r="189" spans="1:3" ht="66" x14ac:dyDescent="0.25">
      <c r="A189" s="2" cm="1">
        <f t="array" ref="A189">IF(ISNUMBER(MATCH(TRUE, $C$1:C188=C189, 0)), INDEX($A$1:A188, MATCH(TRUE, $C$1:C188=C189, 0)), MAX($A$1:A188)+1)</f>
        <v>113</v>
      </c>
      <c r="B189" s="3">
        <v>3</v>
      </c>
      <c r="C189" s="1" t="s">
        <v>157</v>
      </c>
    </row>
    <row r="190" spans="1:3" ht="52.8" x14ac:dyDescent="0.25">
      <c r="A190" s="2" cm="1">
        <f t="array" ref="A190">IF(ISNUMBER(MATCH(TRUE, $C$1:C189=C190, 0)), INDEX($A$1:A189, MATCH(TRUE, $C$1:C189=C190, 0)), MAX($A$1:A189)+1)</f>
        <v>114</v>
      </c>
      <c r="B190" s="3">
        <v>2</v>
      </c>
      <c r="C190" s="1" t="s">
        <v>158</v>
      </c>
    </row>
    <row r="191" spans="1:3" ht="79.2" x14ac:dyDescent="0.25">
      <c r="A191" s="2" cm="1">
        <f t="array" ref="A191">IF(ISNUMBER(MATCH(TRUE, $C$1:C190=C191, 0)), INDEX($A$1:A190, MATCH(TRUE, $C$1:C190=C191, 0)), MAX($A$1:A190)+1)</f>
        <v>115</v>
      </c>
      <c r="B191" s="3">
        <v>5</v>
      </c>
      <c r="C191" s="1" t="s">
        <v>171</v>
      </c>
    </row>
    <row r="192" spans="1:3" ht="92.4" x14ac:dyDescent="0.25">
      <c r="A192" s="2" cm="1">
        <f t="array" ref="A192">IF(ISNUMBER(MATCH(TRUE, $C$1:C191=C192, 0)), INDEX($A$1:A191, MATCH(TRUE, $C$1:C191=C192, 0)), MAX($A$1:A191)+1)</f>
        <v>116</v>
      </c>
      <c r="B192" s="3">
        <v>2</v>
      </c>
      <c r="C192" s="1" t="s">
        <v>159</v>
      </c>
    </row>
    <row r="193" spans="1:3" ht="92.4" x14ac:dyDescent="0.25">
      <c r="A193" s="2" cm="1">
        <f t="array" ref="A193">IF(ISNUMBER(MATCH(TRUE, $C$1:C192=C193, 0)), INDEX($A$1:A192, MATCH(TRUE, $C$1:C192=C193, 0)), MAX($A$1:A192)+1)</f>
        <v>116</v>
      </c>
      <c r="B193" s="3">
        <v>3</v>
      </c>
      <c r="C193" s="1" t="s">
        <v>159</v>
      </c>
    </row>
    <row r="194" spans="1:3" ht="92.4" x14ac:dyDescent="0.25">
      <c r="A194" s="2" cm="1">
        <f t="array" ref="A194">IF(ISNUMBER(MATCH(TRUE, $C$1:C193=C194, 0)), INDEX($A$1:A193, MATCH(TRUE, $C$1:C193=C194, 0)), MAX($A$1:A193)+1)</f>
        <v>116</v>
      </c>
      <c r="B194" s="3">
        <v>6</v>
      </c>
      <c r="C194" s="1" t="s">
        <v>159</v>
      </c>
    </row>
    <row r="195" spans="1:3" ht="92.4" x14ac:dyDescent="0.25">
      <c r="A195" s="2" cm="1">
        <f t="array" ref="A195">IF(ISNUMBER(MATCH(TRUE, $C$1:C194=C195, 0)), INDEX($A$1:A194, MATCH(TRUE, $C$1:C194=C195, 0)), MAX($A$1:A194)+1)</f>
        <v>116</v>
      </c>
      <c r="B195" s="3">
        <v>7</v>
      </c>
      <c r="C195" s="1" t="s">
        <v>159</v>
      </c>
    </row>
    <row r="196" spans="1:3" ht="66" x14ac:dyDescent="0.25">
      <c r="A196" s="2" cm="1">
        <f t="array" ref="A196">IF(ISNUMBER(MATCH(TRUE, $C$1:C195=C196, 0)), INDEX($A$1:A195, MATCH(TRUE, $C$1:C195=C196, 0)), MAX($A$1:A195)+1)</f>
        <v>117</v>
      </c>
      <c r="B196" s="3">
        <v>4</v>
      </c>
      <c r="C196" s="1" t="s">
        <v>160</v>
      </c>
    </row>
    <row r="197" spans="1:3" ht="66" x14ac:dyDescent="0.25">
      <c r="A197" s="2" cm="1">
        <f t="array" ref="A197">IF(ISNUMBER(MATCH(TRUE, $C$1:C196=C197, 0)), INDEX($A$1:A196, MATCH(TRUE, $C$1:C196=C197, 0)), MAX($A$1:A196)+1)</f>
        <v>118</v>
      </c>
      <c r="B197" s="3">
        <v>3</v>
      </c>
      <c r="C197" s="1" t="s">
        <v>161</v>
      </c>
    </row>
    <row r="198" spans="1:3" ht="66" x14ac:dyDescent="0.25">
      <c r="A198" s="2" cm="1">
        <f t="array" ref="A198">IF(ISNUMBER(MATCH(TRUE, $C$1:C197=C198, 0)), INDEX($A$1:A197, MATCH(TRUE, $C$1:C197=C198, 0)), MAX($A$1:A197)+1)</f>
        <v>119</v>
      </c>
      <c r="B198" s="3">
        <v>1</v>
      </c>
      <c r="C198" s="1" t="s">
        <v>162</v>
      </c>
    </row>
    <row r="199" spans="1:3" ht="79.2" x14ac:dyDescent="0.25">
      <c r="A199" s="2" cm="1">
        <f t="array" ref="A199">IF(ISNUMBER(MATCH(TRUE, $C$1:C198=C199, 0)), INDEX($A$1:A198, MATCH(TRUE, $C$1:C198=C199, 0)), MAX($A$1:A198)+1)</f>
        <v>120</v>
      </c>
      <c r="B199" s="3">
        <v>1</v>
      </c>
      <c r="C199" s="1" t="s">
        <v>163</v>
      </c>
    </row>
    <row r="200" spans="1:3" ht="79.2" x14ac:dyDescent="0.25">
      <c r="A200" s="2" cm="1">
        <f t="array" ref="A200">IF(ISNUMBER(MATCH(TRUE, $C$1:C199=C200, 0)), INDEX($A$1:A199, MATCH(TRUE, $C$1:C199=C200, 0)), MAX($A$1:A199)+1)</f>
        <v>120</v>
      </c>
      <c r="B200" s="3">
        <v>5</v>
      </c>
      <c r="C200" s="1" t="s">
        <v>163</v>
      </c>
    </row>
    <row r="201" spans="1:3" ht="79.2" x14ac:dyDescent="0.25">
      <c r="A201" s="2" cm="1">
        <f t="array" ref="A201">IF(ISNUMBER(MATCH(TRUE, $C$1:C200=C201, 0)), INDEX($A$1:A200, MATCH(TRUE, $C$1:C200=C201, 0)), MAX($A$1:A200)+1)</f>
        <v>120</v>
      </c>
      <c r="B201" s="3">
        <v>6</v>
      </c>
      <c r="C201" s="1" t="s">
        <v>163</v>
      </c>
    </row>
    <row r="202" spans="1:3" ht="79.2" x14ac:dyDescent="0.25">
      <c r="A202" s="2" cm="1">
        <f t="array" ref="A202">IF(ISNUMBER(MATCH(TRUE, $C$1:C201=C202, 0)), INDEX($A$1:A201, MATCH(TRUE, $C$1:C201=C202, 0)), MAX($A$1:A201)+1)</f>
        <v>121</v>
      </c>
      <c r="B202" s="3">
        <v>6</v>
      </c>
      <c r="C202" s="1" t="s">
        <v>170</v>
      </c>
    </row>
    <row r="203" spans="1:3" ht="79.2" x14ac:dyDescent="0.25">
      <c r="A203" s="2" cm="1">
        <f t="array" ref="A203">IF(ISNUMBER(MATCH(TRUE, $C$1:C202=C203, 0)), INDEX($A$1:A202, MATCH(TRUE, $C$1:C202=C203, 0)), MAX($A$1:A202)+1)</f>
        <v>121</v>
      </c>
      <c r="B203" s="3">
        <v>7</v>
      </c>
      <c r="C203" s="1" t="s">
        <v>170</v>
      </c>
    </row>
    <row r="204" spans="1:3" ht="79.2" x14ac:dyDescent="0.25">
      <c r="A204" s="2" cm="1">
        <f t="array" ref="A204">IF(ISNUMBER(MATCH(TRUE, $C$1:C203=C204, 0)), INDEX($A$1:A203, MATCH(TRUE, $C$1:C203=C204, 0)), MAX($A$1:A203)+1)</f>
        <v>122</v>
      </c>
      <c r="B204" s="3">
        <v>8</v>
      </c>
      <c r="C204" s="1" t="s">
        <v>164</v>
      </c>
    </row>
    <row r="205" spans="1:3" ht="66" x14ac:dyDescent="0.25">
      <c r="A205" s="2" cm="1">
        <f t="array" ref="A205">IF(ISNUMBER(MATCH(TRUE, $C$1:C204=C205, 0)), INDEX($A$1:A204, MATCH(TRUE, $C$1:C204=C205, 0)), MAX($A$1:A204)+1)</f>
        <v>123</v>
      </c>
      <c r="B205" s="3">
        <v>1</v>
      </c>
      <c r="C205" s="1" t="s">
        <v>165</v>
      </c>
    </row>
    <row r="206" spans="1:3" ht="66" x14ac:dyDescent="0.25">
      <c r="A206" s="2" cm="1">
        <f t="array" ref="A206">IF(ISNUMBER(MATCH(TRUE, $C$1:C205=C206, 0)), INDEX($A$1:A205, MATCH(TRUE, $C$1:C205=C206, 0)), MAX($A$1:A205)+1)</f>
        <v>124</v>
      </c>
      <c r="B206" s="3">
        <v>4</v>
      </c>
      <c r="C206" s="1" t="s">
        <v>166</v>
      </c>
    </row>
    <row r="207" spans="1:3" ht="52.8" x14ac:dyDescent="0.25">
      <c r="A207" s="2" cm="1">
        <f t="array" ref="A207">IF(ISNUMBER(MATCH(TRUE, $C$1:C206=C207, 0)), INDEX($A$1:A206, MATCH(TRUE, $C$1:C206=C207, 0)), MAX($A$1:A206)+1)</f>
        <v>125</v>
      </c>
      <c r="B207" s="3">
        <v>1</v>
      </c>
      <c r="C207" s="1" t="s">
        <v>167</v>
      </c>
    </row>
    <row r="208" spans="1:3" ht="52.8" x14ac:dyDescent="0.25">
      <c r="A208" s="2" cm="1">
        <f t="array" ref="A208">IF(ISNUMBER(MATCH(TRUE, $C$1:C207=C208, 0)), INDEX($A$1:A207, MATCH(TRUE, $C$1:C207=C208, 0)), MAX($A$1:A207)+1)</f>
        <v>126</v>
      </c>
      <c r="B208" s="3">
        <v>3</v>
      </c>
      <c r="C208" s="1" t="s">
        <v>168</v>
      </c>
    </row>
    <row r="209" spans="1:3" ht="52.8" x14ac:dyDescent="0.25">
      <c r="A209" s="2" cm="1">
        <f t="array" ref="A209">IF(ISNUMBER(MATCH(TRUE, $C$1:C208=C209, 0)), INDEX($A$1:A208, MATCH(TRUE, $C$1:C208=C209, 0)), MAX($A$1:A208)+1)</f>
        <v>126</v>
      </c>
      <c r="B209" s="3">
        <v>6</v>
      </c>
      <c r="C209" s="1" t="s">
        <v>168</v>
      </c>
    </row>
    <row r="210" spans="1:3" ht="92.4" x14ac:dyDescent="0.25">
      <c r="A210" s="2" cm="1">
        <f t="array" ref="A210">IF(ISNUMBER(MATCH(TRUE, $C$1:C209=C210, 0)), INDEX($A$1:A209, MATCH(TRUE, $C$1:C209=C210, 0)), MAX($A$1:A209)+1)</f>
        <v>127</v>
      </c>
      <c r="B210" s="3">
        <v>2</v>
      </c>
      <c r="C210" s="1" t="s">
        <v>169</v>
      </c>
    </row>
    <row r="211" spans="1:3" ht="92.4" x14ac:dyDescent="0.25">
      <c r="A211" s="2" cm="1">
        <f t="array" ref="A211">IF(ISNUMBER(MATCH(TRUE, $C$1:C210=C211, 0)), INDEX($A$1:A210, MATCH(TRUE, $C$1:C210=C211, 0)), MAX($A$1:A210)+1)</f>
        <v>127</v>
      </c>
      <c r="B211" s="3">
        <v>4</v>
      </c>
      <c r="C211" s="1" t="s">
        <v>169</v>
      </c>
    </row>
    <row r="212" spans="1:3" ht="92.4" x14ac:dyDescent="0.25">
      <c r="A212" s="2" cm="1">
        <f t="array" ref="A212">IF(ISNUMBER(MATCH(TRUE, $C$1:C211=C212, 0)), INDEX($A$1:A211, MATCH(TRUE, $C$1:C211=C212, 0)), MAX($A$1:A211)+1)</f>
        <v>127</v>
      </c>
      <c r="B212" s="3">
        <v>7</v>
      </c>
      <c r="C212" s="1" t="s">
        <v>169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Papers 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Utilisateur</dc:creator>
  <cp:keywords/>
  <dc:description/>
  <cp:lastModifiedBy>Clement CHAFFANGEON</cp:lastModifiedBy>
  <cp:revision/>
  <dcterms:created xsi:type="dcterms:W3CDTF">2026-03-17T15:54:07Z</dcterms:created>
  <dcterms:modified xsi:type="dcterms:W3CDTF">2026-04-19T13:23:54Z</dcterms:modified>
  <cp:category/>
  <cp:contentStatus/>
</cp:coreProperties>
</file>